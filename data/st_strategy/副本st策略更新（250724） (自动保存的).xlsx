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个人\"/>
    </mc:Choice>
  </mc:AlternateContent>
  <bookViews>
    <workbookView xWindow="0" yWindow="0" windowWidth="19140" windowHeight="5970" activeTab="4"/>
  </bookViews>
  <sheets>
    <sheet name="策略总结" sheetId="12" r:id="rId1"/>
    <sheet name="2025年度更新" sheetId="21" r:id="rId2"/>
    <sheet name="Sheet1" sheetId="22" r:id="rId3"/>
    <sheet name="2025年度" sheetId="10" r:id="rId4"/>
    <sheet name="2024年度更新" sheetId="20" r:id="rId5"/>
    <sheet name="2023年度 (4)" sheetId="16" r:id="rId6"/>
    <sheet name="2022年度" sheetId="1" r:id="rId7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2" l="1"/>
  <c r="C2" i="22"/>
  <c r="B2" i="22"/>
  <c r="AG12" i="21" l="1"/>
  <c r="AG5" i="21"/>
  <c r="AG6" i="21"/>
  <c r="AG7" i="21"/>
  <c r="AG8" i="21"/>
  <c r="AG9" i="21"/>
  <c r="AG10" i="21"/>
  <c r="AG11" i="21"/>
  <c r="AG13" i="21"/>
  <c r="AG14" i="21"/>
  <c r="AG15" i="21"/>
  <c r="AG16" i="21"/>
  <c r="AG17" i="21"/>
  <c r="AG18" i="21"/>
  <c r="AG19" i="21"/>
  <c r="AG20" i="21"/>
  <c r="AG21" i="21"/>
  <c r="AG22" i="21"/>
  <c r="AG23" i="21"/>
  <c r="AG24" i="21"/>
  <c r="AG25" i="21"/>
  <c r="AG26" i="21"/>
  <c r="AG27" i="21"/>
  <c r="AG28" i="21"/>
  <c r="AG29" i="21"/>
  <c r="AG30" i="21"/>
  <c r="AP13" i="21" l="1"/>
  <c r="AP12" i="21"/>
  <c r="AP11" i="21"/>
  <c r="AP10" i="21"/>
  <c r="AP9" i="21"/>
  <c r="W11" i="20"/>
  <c r="AP6" i="21"/>
  <c r="AP17" i="21"/>
  <c r="AP22" i="21" l="1"/>
  <c r="AG4" i="21" l="1"/>
  <c r="AP25" i="21"/>
  <c r="J15" i="16" l="1"/>
  <c r="J10" i="16"/>
  <c r="J17" i="16"/>
  <c r="J16" i="16"/>
  <c r="J14" i="16"/>
  <c r="J13" i="16"/>
  <c r="J12" i="16"/>
  <c r="J9" i="16"/>
  <c r="J8" i="16"/>
  <c r="J7" i="16"/>
  <c r="J4" i="16"/>
  <c r="J6" i="16"/>
  <c r="J5" i="16"/>
  <c r="J3" i="16"/>
  <c r="J11" i="16"/>
  <c r="K3" i="20"/>
  <c r="K13" i="20"/>
  <c r="K12" i="20"/>
  <c r="K11" i="20"/>
  <c r="K10" i="20"/>
  <c r="K9" i="20"/>
  <c r="K8" i="20"/>
  <c r="K7" i="20"/>
  <c r="K6" i="20"/>
  <c r="K5" i="20"/>
  <c r="AP4" i="21"/>
  <c r="W4" i="20"/>
  <c r="W5" i="20"/>
  <c r="W6" i="20"/>
  <c r="W7" i="20"/>
  <c r="W8" i="20"/>
  <c r="W9" i="20"/>
  <c r="W10" i="20"/>
  <c r="W12" i="20"/>
  <c r="W13" i="20"/>
  <c r="W3" i="20"/>
  <c r="AJ3" i="20" l="1"/>
  <c r="AJ7" i="20"/>
  <c r="AJ10" i="20"/>
  <c r="AJ11" i="20"/>
  <c r="AB4" i="20"/>
  <c r="AJ4" i="20" s="1"/>
  <c r="AB5" i="20"/>
  <c r="AJ5" i="20" s="1"/>
  <c r="AB6" i="20"/>
  <c r="AJ6" i="20" s="1"/>
  <c r="AB7" i="20"/>
  <c r="AB8" i="20"/>
  <c r="AJ8" i="20" s="1"/>
  <c r="AB9" i="20"/>
  <c r="AJ9" i="20" s="1"/>
  <c r="AB10" i="20"/>
  <c r="AB11" i="20"/>
  <c r="AB12" i="20"/>
  <c r="AJ12" i="20" s="1"/>
  <c r="AB13" i="20"/>
  <c r="AJ13" i="20" s="1"/>
  <c r="AB3" i="20"/>
  <c r="T15" i="10" l="1"/>
  <c r="I10" i="1" l="1"/>
  <c r="I11" i="1"/>
  <c r="I12" i="1"/>
  <c r="I9" i="1"/>
  <c r="I8" i="1"/>
  <c r="I7" i="1"/>
  <c r="I6" i="1"/>
  <c r="I5" i="1"/>
  <c r="I4" i="1"/>
  <c r="I3" i="1"/>
  <c r="I2" i="1"/>
  <c r="K3" i="1" l="1"/>
  <c r="K4" i="1"/>
  <c r="K5" i="1"/>
  <c r="K6" i="1"/>
  <c r="K7" i="1"/>
  <c r="K8" i="1"/>
  <c r="K9" i="1"/>
  <c r="K10" i="1"/>
  <c r="K11" i="1"/>
  <c r="K12" i="1"/>
  <c r="K2" i="1"/>
</calcChain>
</file>

<file path=xl/comments1.xml><?xml version="1.0" encoding="utf-8"?>
<comments xmlns="http://schemas.openxmlformats.org/spreadsheetml/2006/main">
  <authors>
    <author>GZZC</author>
  </authors>
  <commentList>
    <comment ref="H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受理前3个涨停。从3.34到4.02</t>
        </r>
      </text>
    </comment>
    <comment ref="K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2024-10-15报名完成，7000w保证金
公告当日没有涨，自10月10日开始涨，从2.53涨至11月15日5.28，涨幅108%</t>
        </r>
      </text>
    </comment>
    <comment ref="L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宣布确认后2个跌停，从4.07跌到3.56；然后开始反弹</t>
        </r>
      </text>
    </comment>
    <comment ref="M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当天涨停，从4.32涨到4.77</t>
        </r>
      </text>
    </comment>
    <comment ref="H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跌7%，股价到2.87</t>
        </r>
      </text>
    </comment>
    <comment ref="I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受理达到阶段高点，2.64</t>
        </r>
      </text>
    </comment>
    <comment ref="J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涨停，股价2.39</t>
        </r>
      </text>
    </comment>
    <comment ref="K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2024.10.20前，3000w</t>
        </r>
      </text>
    </comment>
    <comment ref="L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涨幅2.36%，股价2.6</t>
        </r>
      </text>
    </comment>
    <comment ref="M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预期兑现，股票开始跌</t>
        </r>
      </text>
    </comment>
    <comment ref="I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连续26个涨停，调整后继续涨停，股价到达高点5.07</t>
        </r>
      </text>
    </comment>
    <comment ref="J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连续涨停中</t>
        </r>
      </text>
    </comment>
    <comment ref="K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8.8日报名结束。保证金2000w</t>
        </r>
      </text>
    </comment>
    <comment ref="L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因招募延期，三个跌停，股价2.2
确定投资人继续涨停</t>
        </r>
      </text>
    </comment>
    <comment ref="H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因戴帽、停产持续跌停，股价自4.84跌至1.6</t>
        </r>
      </text>
    </comment>
    <comment ref="I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2个涨停。从1.49到1.72</t>
        </r>
      </text>
    </comment>
    <comment ref="K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股票从最低点1.26一直涨到7.16日，2.3
6.28日前1000w</t>
        </r>
      </text>
    </comment>
    <comment ref="L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延长到7月8日
25.1.15连续涨停</t>
        </r>
      </text>
    </comment>
    <comment ref="K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从开始招募，股价启动</t>
        </r>
      </text>
    </comment>
    <comment ref="M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当日涨停</t>
        </r>
      </text>
    </comment>
    <comment ref="AC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2025-4-29</t>
        </r>
      </text>
    </comment>
    <comment ref="H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被申请前连涨2天，5.17预期兑现。估计2.14</t>
        </r>
      </text>
    </comment>
    <comment ref="I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当日微涨，股价2.06</t>
        </r>
      </text>
    </comment>
    <comment ref="K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当日涨7.14%，股价1.95</t>
        </r>
      </text>
    </comment>
    <comment ref="L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之前一直涨，自9月10日公告1.95，涨到10月29日4.15，涨幅112%</t>
        </r>
      </text>
    </comment>
    <comment ref="H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涨停。1.67</t>
        </r>
      </text>
    </comment>
    <comment ref="I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涨1.73%，股价1.76</t>
        </r>
      </text>
    </comment>
    <comment ref="K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当日股价未涨，但是自204年10月20日开始，连续涨停，股价从1.84涨到4.01，涨幅117%</t>
        </r>
      </text>
    </comment>
    <comment ref="L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2025.1.23公告进展，债权人投票，股票达到阶段性高点，3.96；
2.28确定重整投资人，当日涨2.14%，3.81</t>
        </r>
      </text>
    </comment>
    <comment ref="M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2个板，股价从3.52到3.67</t>
        </r>
      </text>
    </comment>
    <comment ref="H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连涨3天，股价从1.35涨到1.61</t>
        </r>
      </text>
    </comment>
    <comment ref="K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当日涨停20%，此后一直涨，自2.8涨到11月1日6.36</t>
        </r>
      </text>
    </comment>
    <comment ref="L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当日涨4.18%，股价5.73</t>
        </r>
      </text>
    </comment>
    <comment ref="X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合同1.15，但是为了保壳，捐赠了2.3亿元</t>
        </r>
      </text>
    </comment>
    <comment ref="H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亏3.14%股价13.4</t>
        </r>
      </text>
    </comment>
    <comment ref="M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当日涨2.05%，股价12.89</t>
        </r>
      </text>
    </comment>
    <comment ref="H1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连续4个涨停，从最低点开始启动，1.59到临近高点2.43</t>
        </r>
      </text>
    </comment>
    <comment ref="K1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招募后12个连续涨停，股价自2。1涨到3.27</t>
        </r>
      </text>
    </comment>
    <comment ref="H1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当日20%涨停。此后一直张，股价从2.25开始启动</t>
        </r>
      </text>
    </comment>
    <comment ref="I1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当日20%涨停。此后一直张，股价从2.25开始启动</t>
        </r>
      </text>
    </comment>
    <comment ref="J1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当日20%涨停。此后一直张，股价从2.25开始启动</t>
        </r>
      </text>
    </comment>
    <comment ref="K1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当日20%涨停，股价4.9</t>
        </r>
      </text>
    </comment>
    <comment ref="L1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确定了产业投资人，当日涨停，股价7.67</t>
        </r>
      </text>
    </comment>
    <comment ref="H1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公告当日涨0.66%，6.08</t>
        </r>
      </text>
    </comment>
    <comment ref="I1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公告当日涨0.66%，6.08</t>
        </r>
      </text>
    </comment>
    <comment ref="J1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公告当日涨0.66%，6.08</t>
        </r>
      </text>
    </comment>
    <comment ref="K1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连续涨3天，股价从6.6涨到7.15
11月25日前800万保证金
11月23日延期到12月25日</t>
        </r>
      </text>
    </comment>
    <comment ref="H1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被申请的当日没有涨，3.16</t>
        </r>
      </text>
    </comment>
    <comment ref="I1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2个涨停，然后持续涨，到5.5</t>
        </r>
      </text>
    </comment>
    <comment ref="J1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当天涨4.72%，4.88</t>
        </r>
      </text>
    </comment>
    <comment ref="K1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2个涨停。5.3
12月31日前</t>
        </r>
      </text>
    </comment>
    <comment ref="L1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当日涨停。</t>
        </r>
      </text>
    </comment>
    <comment ref="B1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摘帽的时候可能有2个影响，注意</t>
        </r>
      </text>
    </comment>
    <comment ref="H1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被申请破产后，连涨4天，连续3个涨停，价格从1.77到2.65</t>
        </r>
      </text>
    </comment>
    <comment ref="I1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受理继续涨停，1个板</t>
        </r>
      </text>
    </comment>
    <comment ref="J1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受理继续涨停，1个板</t>
        </r>
      </text>
    </comment>
    <comment ref="K1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2025年1月10日前，800w报名费
涨幅较小，3%</t>
        </r>
      </text>
    </comment>
    <comment ref="M1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连续涨3天，2个涨停，股价从2.55到2.81</t>
        </r>
      </text>
    </comment>
    <comment ref="H1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自受理公告之日开始涨停，2.69涨到最高12月4日4.32，涨幅60.6%</t>
        </r>
      </text>
    </comment>
    <comment ref="I1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到受理，预期兑现。</t>
        </r>
      </text>
    </comment>
    <comment ref="M1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股价开始跌</t>
        </r>
      </text>
    </comment>
    <comment ref="H2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当日涨停，股价从7.48到8.51</t>
        </r>
      </text>
    </comment>
    <comment ref="I2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法院受理前一日涨幅3.86%，公告受理与指定管理人未涨。</t>
        </r>
      </text>
    </comment>
    <comment ref="K2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7.4截至报名，2000w保证金，8月15日提交方案。</t>
        </r>
      </text>
    </comment>
    <comment ref="H2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当天涨幅3%，股价10.26</t>
        </r>
      </text>
    </comment>
    <comment ref="I2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当日涨11.05%，股价6.55</t>
        </r>
      </text>
    </comment>
    <comment ref="H2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自申请后涨幅很大，7.48%,价格到2.3</t>
        </r>
      </text>
    </comment>
    <comment ref="I2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涨停，20%</t>
        </r>
      </text>
    </comment>
    <comment ref="J2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自申请后涨幅很大，</t>
        </r>
      </text>
    </comment>
    <comment ref="K2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4.18日前</t>
        </r>
      </text>
    </comment>
    <comment ref="M2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之前一直涨，签订协议属于预期兑现，公告当日开始回调</t>
        </r>
      </text>
    </comment>
    <comment ref="Z2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非公开信息</t>
        </r>
      </text>
    </comment>
    <comment ref="I2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受理跌10%</t>
        </r>
      </text>
    </comment>
    <comment ref="J2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受理跌10%</t>
        </r>
      </text>
    </comment>
    <comment ref="K2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4.30，3000w保证金</t>
        </r>
      </text>
    </comment>
    <comment ref="H2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持续涨停，从6.42连续8个涨停达到最高点9.21</t>
        </r>
      </text>
    </comment>
    <comment ref="I2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预期兑现，当日跌停，价格7.98</t>
        </r>
      </text>
    </comment>
    <comment ref="J2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预期兑现，当日跌停，价格7.98</t>
        </r>
      </text>
    </comment>
    <comment ref="K2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当日涨停，7.99
6月20日前，3000w保证金,7月4日，提交有约束力方案</t>
        </r>
      </text>
    </comment>
    <comment ref="M2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预期兑现。5月7日到高点，5.58，5月8日开始跌</t>
        </r>
      </text>
    </comment>
    <comment ref="H2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涨3.94%</t>
        </r>
      </text>
    </comment>
    <comment ref="I2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涨4.74%</t>
        </r>
      </text>
    </comment>
    <comment ref="K2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6.25提供，1000w</t>
        </r>
      </text>
    </comment>
    <comment ref="L2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当天10%
</t>
        </r>
      </text>
    </comment>
  </commentList>
</comments>
</file>

<file path=xl/comments2.xml><?xml version="1.0" encoding="utf-8"?>
<comments xmlns="http://schemas.openxmlformats.org/spreadsheetml/2006/main">
  <authors>
    <author>GZZC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当日涨停</t>
        </r>
      </text>
    </commen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受理当日涨停，连续涨25%</t>
        </r>
      </text>
    </comment>
    <comment ref="G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当日微涨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确定产业投资人</t>
        </r>
      </text>
    </comment>
    <comment ref="I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公告财投价格2.1。9家财投。
股价无明显变化
而后利空出尽，5月11日股票价格2.56，此时点比财投价格仅仅高出20%。
</t>
        </r>
      </text>
    </comment>
    <comment ref="L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受理与带星戴帽同时。当日没涨</t>
        </r>
      </text>
    </comment>
    <comment ref="P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8月24日公告权益调整方案。
公告后股价调整2天后开跌停
</t>
        </r>
      </text>
    </comment>
    <comment ref="R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股票没有涨，不是买点</t>
        </r>
      </text>
    </comment>
    <comment ref="S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无明显变化</t>
        </r>
      </text>
    </comment>
    <comment ref="X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申请日连续2个涨停。</t>
        </r>
      </text>
    </comment>
    <comment ref="Y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当日无明显涨幅，自公告申请日后，基本无涨幅</t>
        </r>
      </text>
    </comment>
    <comment ref="Z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公告日3.97买入</t>
        </r>
      </text>
    </comment>
    <comment ref="AA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接近价格3.36，而后一直跌，财投大概有50%的收益</t>
        </r>
      </text>
    </comment>
    <comment ref="D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申请时跌</t>
        </r>
      </text>
    </comment>
    <comment ref="E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受理时微涨</t>
        </r>
      </text>
    </comment>
    <comment ref="G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股价无明显变化</t>
        </r>
      </text>
    </comment>
    <comment ref="H4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GZZC
</t>
        </r>
      </text>
    </comment>
    <comment ref="L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可能是预期兑现了，之前一直涨</t>
        </r>
      </text>
    </comment>
    <comment ref="O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连续3个涨停。最高股价3.14。7.24日2.9买进，3.14离场，8%</t>
        </r>
      </text>
    </comment>
    <comment ref="P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连续3个涨停。最高股价3.14。7.24日2.9买进，3.14离场，8%</t>
        </r>
      </text>
    </comment>
    <comment ref="X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申请撤销破产风险</t>
        </r>
      </text>
    </comment>
    <comment ref="Y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4.30公告买入，2.85到6.12公告日3.5卖出，涨幅22.8%</t>
        </r>
      </text>
    </comment>
    <comment ref="AA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财投减持价格3.2-3.0,获利87.5%</t>
        </r>
      </text>
    </comment>
    <comment ref="D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4月28日因公告会计师出具重大不确定性段落的保留意见跌停，股价2.5。29日被申请受理后4个涨停</t>
        </r>
      </text>
    </comment>
    <comment ref="E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5月14日公告时高开，收盘价格为3.36</t>
        </r>
      </text>
    </comment>
    <comment ref="F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2个涨停，价格到4.0</t>
        </r>
      </text>
    </comment>
    <comment ref="I5" authorId="0" shapeId="0">
      <text>
        <r>
          <rPr>
            <b/>
            <sz val="9"/>
            <color indexed="81"/>
            <rFont val="宋体"/>
            <family val="3"/>
            <charset val="134"/>
          </rPr>
          <t>GZZC:
公告于破产重整投资人签约，当日涨幅3.3%，4.62</t>
        </r>
      </text>
    </comment>
    <comment ref="K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距离签订重整协议的时间</t>
        </r>
      </text>
    </comment>
    <comment ref="L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公告日后5个涨停，股价从6.08一直涨到11月15日，18.07</t>
        </r>
      </text>
    </comment>
    <comment ref="O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跌停。</t>
        </r>
      </text>
    </comment>
    <comment ref="R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跌停。</t>
        </r>
      </text>
    </comment>
    <comment ref="S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公告天2.93，涨到12.29日3.26，11.2%</t>
        </r>
      </text>
    </comment>
    <comment ref="X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1.13撤销退市风险</t>
        </r>
      </text>
    </comment>
    <comment ref="Y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股价无明显变化</t>
        </r>
      </text>
    </comment>
    <comment ref="Z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自公告日买入，有20%涨幅</t>
        </r>
      </text>
    </comment>
    <comment ref="AA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减持价格2.6左右，52%收益</t>
        </r>
      </text>
    </comment>
    <comment ref="D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申请前股票因业绩大跌至1.04，申请后持续涨停，至受理日涨到1.9，涨幅82%</t>
        </r>
      </text>
    </comment>
    <comment ref="E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受理日跌3%</t>
        </r>
      </text>
    </comment>
    <comment ref="G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连续5个涨停，股价从1.84到2.83，涨幅45%</t>
        </r>
      </text>
    </comment>
    <comment ref="H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连续4个涨停，股价从1.52到1.85。</t>
        </r>
      </text>
    </comment>
    <comment ref="L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受理同时公告退市风险，涨幅0.5%。</t>
        </r>
      </text>
    </comment>
    <comment ref="P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微涨</t>
        </r>
      </text>
    </comment>
    <comment ref="S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当日涨停</t>
        </r>
      </text>
    </comment>
    <comment ref="X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申请破产风险</t>
        </r>
      </text>
    </comment>
    <comment ref="Y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股价无明显变化</t>
        </r>
      </text>
    </comment>
    <comment ref="Z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4月10日公告日涨停，假设2.05买入，5月6日复牌，2.3卖出。涨幅12.5%</t>
        </r>
      </text>
    </comment>
    <comment ref="B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创业板</t>
        </r>
      </text>
    </comment>
    <comment ref="D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申请后连续上涨，其涨停2个，股价从1.45到3.28，涨幅126%</t>
        </r>
      </text>
    </comment>
    <comment ref="G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涨幅15%，股价3.92</t>
        </r>
      </text>
    </comment>
    <comment ref="L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连涨2天。价格从3.85到4.99，涨幅26.6%</t>
        </r>
      </text>
    </comment>
    <comment ref="N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确定产业投资人。11月14日更换产业投资人
</t>
        </r>
      </text>
    </comment>
    <comment ref="O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出价格，无利好，无明显涨跌幅</t>
        </r>
      </text>
    </comment>
    <comment ref="P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出价格，无利好，无明显涨跌幅</t>
        </r>
      </text>
    </comment>
    <comment ref="X7" authorId="0" shapeId="0">
      <text>
        <r>
          <rPr>
            <b/>
            <sz val="9"/>
            <color indexed="81"/>
            <rFont val="宋体"/>
            <family val="3"/>
            <charset val="134"/>
          </rPr>
          <t>GZZC:
1.10同意申请撤销破产风险</t>
        </r>
      </text>
    </comment>
    <comment ref="D8" authorId="0" shapeId="0">
      <text>
        <r>
          <rPr>
            <b/>
            <sz val="9"/>
            <color indexed="81"/>
            <rFont val="宋体"/>
            <charset val="134"/>
          </rPr>
          <t>GZZC:</t>
        </r>
        <r>
          <rPr>
            <sz val="9"/>
            <color indexed="81"/>
            <rFont val="宋体"/>
            <charset val="134"/>
          </rPr>
          <t xml:space="preserve">
连续2个涨停。从4.5到5.05，而后一直微涨至2月13日，股价到5.54</t>
        </r>
      </text>
    </comment>
    <comment ref="G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自3月23日开始涨停，连续3个涨停，4.51涨至5.42
招募至2023-4-24</t>
        </r>
      </text>
    </comment>
    <comment ref="I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自8月14日4.0开始涨，到8月23日4.83，涨幅20%
此后一直跌停。</t>
        </r>
      </text>
    </comment>
    <comment ref="X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申请撤销破产风险，1.9日同意</t>
        </r>
      </text>
    </comment>
    <comment ref="Y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申请时2.59买入，摘帽当日退出，3.72，涨幅43.62%</t>
        </r>
      </text>
    </comment>
    <comment ref="D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因自己申请重整，且退市提示性公告，股价自5.7连续跌停至2.76</t>
        </r>
      </text>
    </comment>
    <comment ref="G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3月18日前报名</t>
        </r>
      </text>
    </comment>
    <comment ref="L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预期兑现，自10月20日开始，股价一直涨。</t>
        </r>
      </text>
    </comment>
    <comment ref="X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申请退市风险2025.1.8同意</t>
        </r>
      </text>
    </comment>
    <comment ref="Y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在摘帽前，4月9日开始连续涨，从5.32涨到6.5，涨幅22%，复牌时，</t>
        </r>
      </text>
    </comment>
    <comment ref="D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5月7日开始涨停，自0.77涨至5.23的1.47，涨幅100%</t>
        </r>
      </text>
    </comment>
    <comment ref="G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2个涨停。1.25-1.48
7月24日前报名</t>
        </r>
      </text>
    </comment>
    <comment ref="H10" authorId="0" shapeId="0">
      <text>
        <r>
          <rPr>
            <b/>
            <sz val="9"/>
            <color indexed="81"/>
            <rFont val="宋体"/>
            <charset val="134"/>
          </rPr>
          <t>GZZC:</t>
        </r>
        <r>
          <rPr>
            <sz val="9"/>
            <color indexed="81"/>
            <rFont val="宋体"/>
            <charset val="134"/>
          </rPr>
          <t xml:space="preserve">
自10月16日开始房价起飞，自1.35到11月15日的2.67，涨幅100%</t>
        </r>
      </text>
    </comment>
    <comment ref="L10" authorId="0" shapeId="0">
      <text>
        <r>
          <rPr>
            <b/>
            <sz val="9"/>
            <color indexed="81"/>
            <rFont val="宋体"/>
            <charset val="134"/>
          </rPr>
          <t>GZZC:</t>
        </r>
        <r>
          <rPr>
            <sz val="9"/>
            <color indexed="81"/>
            <rFont val="宋体"/>
            <charset val="134"/>
          </rPr>
          <t xml:space="preserve">
受理时，预期兑现，达到高点，2.3</t>
        </r>
      </text>
    </comment>
    <comment ref="X10" authorId="0" shapeId="0">
      <text>
        <r>
          <rPr>
            <b/>
            <sz val="9"/>
            <color indexed="81"/>
            <rFont val="宋体"/>
            <charset val="134"/>
          </rPr>
          <t>GZZC:</t>
        </r>
        <r>
          <rPr>
            <sz val="9"/>
            <color indexed="81"/>
            <rFont val="宋体"/>
            <charset val="134"/>
          </rPr>
          <t xml:space="preserve">
申请重整风险撤销，1.3日批准</t>
        </r>
      </text>
    </comment>
    <comment ref="Y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4月29日申请，股价2.03，最高2.25，涨幅10.8%</t>
        </r>
      </text>
    </comment>
    <comment ref="D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因1月31日发布可能退市的风险预警，股价自1.85开始跌停，直到2.07日达到最低0.99元</t>
        </r>
      </text>
    </comment>
    <comment ref="E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从最低点开始反弹到受理，价格从0.99到2.43,涨幅145%</t>
        </r>
      </text>
    </comment>
    <comment ref="G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5个涨停。股价从1.09到1.4，涨幅28.4%</t>
        </r>
      </text>
    </comment>
    <comment ref="H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公告确定产业投资人</t>
        </r>
      </text>
    </comment>
    <comment ref="L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预期兑现，股价自10月20日启动，1.31到2.72。</t>
        </r>
      </text>
    </comment>
    <comment ref="X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2025-1-7撤销退市风险</t>
        </r>
      </text>
    </comment>
    <comment ref="D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因1月31日公告可能退市风险，股价自4.47，8个跌停，到2月8日的2.38</t>
        </r>
      </text>
    </comment>
    <comment ref="E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2.8才开板</t>
        </r>
      </text>
    </comment>
    <comment ref="G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连续涨2天</t>
        </r>
      </text>
    </comment>
    <comment ref="H12" authorId="0" shapeId="0">
      <text>
        <r>
          <rPr>
            <b/>
            <sz val="9"/>
            <color indexed="81"/>
            <rFont val="宋体"/>
            <charset val="134"/>
          </rPr>
          <t>确定产业投资人。打板高开，然后一路下跌。因同时公告收到监管函，所以收跌</t>
        </r>
      </text>
    </comment>
    <comment ref="P12" authorId="0" shapeId="0">
      <text>
        <r>
          <rPr>
            <b/>
            <sz val="9"/>
            <color indexed="81"/>
            <rFont val="宋体"/>
            <charset val="134"/>
          </rPr>
          <t>GZZC:</t>
        </r>
        <r>
          <rPr>
            <sz val="9"/>
            <color indexed="81"/>
            <rFont val="宋体"/>
            <charset val="134"/>
          </rPr>
          <t xml:space="preserve">
基本到了阶段高点</t>
        </r>
      </text>
    </comment>
    <comment ref="X12" authorId="0" shapeId="0">
      <text>
        <r>
          <rPr>
            <b/>
            <sz val="9"/>
            <color indexed="81"/>
            <rFont val="宋体"/>
            <charset val="134"/>
          </rPr>
          <t>GZZC:</t>
        </r>
        <r>
          <rPr>
            <sz val="9"/>
            <color indexed="81"/>
            <rFont val="宋体"/>
            <charset val="134"/>
          </rPr>
          <t xml:space="preserve">
1.9日同意撤销退市风险</t>
        </r>
      </text>
    </comment>
    <comment ref="Y12" authorId="0" shapeId="0">
      <text>
        <r>
          <rPr>
            <b/>
            <sz val="9"/>
            <color indexed="81"/>
            <rFont val="宋体"/>
            <charset val="134"/>
          </rPr>
          <t>GZZC:</t>
        </r>
        <r>
          <rPr>
            <sz val="9"/>
            <color indexed="81"/>
            <rFont val="宋体"/>
            <charset val="134"/>
          </rPr>
          <t xml:space="preserve">
公告日4.30，3.7买入，到摘帽日5.19日，4.2卖出，涨幅13.5%</t>
        </r>
      </text>
    </comment>
    <comment ref="D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2个涨停，股价自3.72到4.11</t>
        </r>
      </text>
    </comment>
    <comment ref="E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5个涨停，自4.71到5.46</t>
        </r>
      </text>
    </comment>
    <comment ref="G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连续2个涨停，6.94-7.65
报名：9.18日前</t>
        </r>
      </text>
    </comment>
    <comment ref="H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公告延期，跌停2个</t>
        </r>
      </text>
    </comment>
    <comment ref="L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连续12个板，股价自8.21涨到14.11，涨幅71.86%</t>
        </r>
      </text>
    </comment>
    <comment ref="X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1.9日撤销退市风险</t>
        </r>
      </text>
    </comment>
  </commentList>
</comments>
</file>

<file path=xl/comments3.xml><?xml version="1.0" encoding="utf-8"?>
<comments xmlns="http://schemas.openxmlformats.org/spreadsheetml/2006/main">
  <authors>
    <author>GZZC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股价自2.22-2.84，涨幅27.9%，连续涨3天</t>
        </r>
      </text>
    </commen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股价无变化</t>
        </r>
      </text>
    </comment>
    <comment ref="F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股票无明显涨幅，微涨2%，3天内
3月1日前完成招募</t>
        </r>
      </text>
    </comment>
    <comment ref="G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公告进展。初步选定几家。3天涨10%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公告财投价格2.1。9家财投。
股价无明显变化
而后利空出尽，5月11日股票价格2.56，此时点比财投价格仅仅高出20%。
</t>
        </r>
      </text>
    </comment>
    <comment ref="J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蓝色底纹表示距离签订预重整协议时间</t>
        </r>
      </text>
    </comment>
    <comment ref="K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股票无明显涨幅</t>
        </r>
      </text>
    </comment>
    <comment ref="O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8月24日公告权益调整方案。
公告后股价调整2天后开始涨，假设公告后3.2买入，9.6日3.73，有16.6%涨幅
如果于9.1日买进，有10%涨幅
</t>
        </r>
      </text>
    </comment>
    <comment ref="Q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股票没有涨，不是买点</t>
        </r>
      </text>
    </comment>
    <comment ref="R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无明显变化</t>
        </r>
      </text>
    </comment>
    <comment ref="V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2023-12-8撤销因重整退市的风险警示继续其他</t>
        </r>
      </text>
    </comment>
    <comment ref="W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股价无涨幅，且一直跌</t>
        </r>
      </text>
    </comment>
    <comment ref="Y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接近价格3.36，而后一直跌，财投大概有50%的收益</t>
        </r>
      </text>
    </comment>
    <comment ref="D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股价没有涨幅，持续下跌，从4.4跌至3.5</t>
        </r>
      </text>
    </comment>
    <comment ref="F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股价无明显变化，招募日期至2023年2月8日</t>
        </r>
      </text>
    </comment>
    <comment ref="G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公告招募进展，股价自2.16至2.63（5月24日），涨幅21.76%
确定重整投资人，买点！</t>
        </r>
      </text>
    </comment>
    <comment ref="K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股票跌。因为受理与带星同时
</t>
        </r>
      </text>
    </comment>
    <comment ref="N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连续3个涨停。最高股价3.14。7.24日2.9买进，3.14离场，8%</t>
        </r>
      </text>
    </comment>
    <comment ref="O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连续3个涨停。最高股价3.14。7.24日2.9买进，3.14离场，8%</t>
        </r>
      </text>
    </comment>
    <comment ref="W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4.30公告买入，2.85到6.12公告日3.5卖出，涨幅22.8%</t>
        </r>
      </text>
    </comment>
    <comment ref="Y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财投减持价格3.2-3.0,获利87.5%</t>
        </r>
      </text>
    </comment>
    <comment ref="D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涨停一个板，内幕消息</t>
        </r>
      </text>
    </comment>
    <comment ref="F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公告当日3.0买进，5天后3.18退出，盈利6%
因6月22日公告内容很多，其中包括退市提示，7月5日前报名</t>
        </r>
      </text>
    </comment>
    <comment ref="G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9家报名，股价没变化。股价2.9左右
此后股价一直涨，到9月20日4.0,有37.9%涨幅</t>
        </r>
      </text>
    </comment>
    <comment ref="J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距离受理预重整
</t>
        </r>
      </text>
    </comment>
    <comment ref="K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公告当日3.0买进，5天后3.18退出，盈利6%
因6月22日公告内容很多，其中包括退市提示，7月5日前报名</t>
        </r>
      </text>
    </comment>
    <comment ref="M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9家报名，股价没变化。股价2.9左右
此后股价一直涨，到9月20日4.0,有37.9%涨幅
9.23日确定重整投资人，股价3.8，有31%涨幅</t>
        </r>
      </text>
    </comment>
    <comment ref="Q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1个板</t>
        </r>
      </text>
    </comment>
    <comment ref="R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公告天2.93，涨到12.29日3.26，11.2%</t>
        </r>
      </text>
    </comment>
    <comment ref="V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2024.1.9撤销重整风险</t>
        </r>
      </text>
    </comment>
    <comment ref="W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摘星公告1个涨停</t>
        </r>
      </text>
    </comment>
    <comment ref="X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自公告日买入，有20%涨幅</t>
        </r>
      </text>
    </comment>
    <comment ref="Y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减持价格2.6左右，52%收益</t>
        </r>
      </text>
    </comment>
    <comment ref="D6" authorId="0" shapeId="0">
      <text>
        <r>
          <rPr>
            <b/>
            <sz val="9"/>
            <color indexed="81"/>
            <rFont val="宋体"/>
            <family val="3"/>
            <charset val="134"/>
          </rPr>
          <t>GZZC:连续7个涨停，股价自1.75，到最高2.7，54%</t>
        </r>
      </text>
    </comment>
    <comment ref="E6" authorId="0" shapeId="0">
      <text>
        <r>
          <rPr>
            <b/>
            <sz val="9"/>
            <color indexed="81"/>
            <rFont val="宋体"/>
            <family val="3"/>
            <charset val="134"/>
          </rPr>
          <t>GZZC:连续7个涨停，股价自1.75，到最高2.7，54%</t>
        </r>
      </text>
    </comment>
    <comment ref="K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在受理前，开始涨。5月29日开始，连续涨到6月7日，从2.2涨到3.28，49%，如果自公告之日买入，大约有15%的涨幅</t>
        </r>
      </text>
    </comment>
    <comment ref="L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公告当天高开，后走低。因与受理时间较近，无明显涨幅</t>
        </r>
      </text>
    </comment>
    <comment ref="M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7.4未确定重整投资人股价无变化。
8.4未确定，无变化
9.5未确定，无变化
10.10未确定，无变化
</t>
        </r>
      </text>
    </comment>
    <comment ref="N6" authorId="0" shapeId="0">
      <text>
        <r>
          <rPr>
            <b/>
            <sz val="9"/>
            <color indexed="81"/>
            <rFont val="宋体"/>
            <charset val="134"/>
          </rPr>
          <t>GZZC:</t>
        </r>
        <r>
          <rPr>
            <sz val="9"/>
            <color indexed="81"/>
            <rFont val="宋体"/>
            <charset val="134"/>
          </rPr>
          <t xml:space="preserve">
连续跌停，可能是因为内重整价格太低了。</t>
        </r>
      </text>
    </comment>
    <comment ref="O6" authorId="0" shapeId="0">
      <text>
        <r>
          <rPr>
            <b/>
            <sz val="9"/>
            <color indexed="81"/>
            <rFont val="宋体"/>
            <charset val="134"/>
          </rPr>
          <t>GZZC:</t>
        </r>
        <r>
          <rPr>
            <sz val="9"/>
            <color indexed="81"/>
            <rFont val="宋体"/>
            <charset val="134"/>
          </rPr>
          <t xml:space="preserve">
价格一直跌，我认为是因为投资人的价格太低了</t>
        </r>
      </text>
    </comment>
    <comment ref="W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股价无涨幅,自公告申请日买，到公告摘星卖，仅1%涨幅</t>
        </r>
      </text>
    </comment>
    <comment ref="D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4.7日涨3.91%，4.10小幅跌，收盘2.37，到4.18日3.05，涨幅28%
</t>
        </r>
      </text>
    </comment>
    <comment ref="E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1个涨停</t>
        </r>
      </text>
    </comment>
    <comment ref="F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6月9日涨停，6月10日涨停
6.23日招募完毕</t>
        </r>
      </text>
    </comment>
    <comment ref="G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6月30日，无变化
7月29日，无变化
8月31日，无变化</t>
        </r>
      </text>
    </comment>
    <comment ref="K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9月20日涨停，9月21日涨停。</t>
        </r>
      </text>
    </comment>
    <comment ref="V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1.3撤销重整影响
6.21申请摘帽，申请当时涨3.57%，2.61。</t>
        </r>
      </text>
    </comment>
    <comment ref="W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摘星无变化</t>
        </r>
      </text>
    </comment>
    <comment ref="X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申请日买入，到停牌退出，7%</t>
        </r>
      </text>
    </comment>
    <comment ref="Y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减持价格2.6左右，52%收益</t>
        </r>
      </text>
    </comment>
    <comment ref="D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股价无明显变化</t>
        </r>
      </text>
    </comment>
    <comment ref="E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涨停</t>
        </r>
      </text>
    </comment>
    <comment ref="F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涨停。持续8个涨停</t>
        </r>
      </text>
    </comment>
    <comment ref="K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涨停。持续8个涨停</t>
        </r>
      </text>
    </comment>
    <comment ref="L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1个涨停</t>
        </r>
      </text>
    </comment>
    <comment ref="N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1个涨停</t>
        </r>
      </text>
    </comment>
    <comment ref="O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无变化</t>
        </r>
      </text>
    </comment>
    <comment ref="V8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申请撤销破产风险，1.5同意撤销</t>
        </r>
      </text>
    </comment>
    <comment ref="D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股价一直跌</t>
        </r>
      </text>
    </comment>
    <comment ref="E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提前小涨，当日涨停</t>
        </r>
      </text>
    </comment>
    <comment ref="F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公告后买入，连续上涨。2.4退出，可有20%的涨幅</t>
        </r>
      </text>
    </comment>
    <comment ref="K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公告同时带星，所以股票没涨</t>
        </r>
      </text>
    </comment>
    <comment ref="M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投资人以缴纳保证金，但未签订合同，股价无变化</t>
        </r>
      </text>
    </comment>
    <comment ref="N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属于预期兑现。之前一直涨</t>
        </r>
      </text>
    </comment>
    <comment ref="V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1.撤销破产影响
2.申请摘星摘帽</t>
        </r>
      </text>
    </comment>
    <comment ref="W9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4月27日公告日买入，到6月15日退出，1.8买入，2退出，10%</t>
        </r>
      </text>
    </comment>
    <comment ref="D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提前一天开始涨停。连续3个板，连涨8天，涨幅35.7%</t>
        </r>
      </text>
    </comment>
    <comment ref="F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7.18日报名完成</t>
        </r>
      </text>
    </comment>
    <comment ref="G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公告确定重整投资人，跌停
9.13更换投资人，跌</t>
        </r>
      </text>
    </comment>
    <comment ref="K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受理同时带星，所以跌停</t>
        </r>
      </text>
    </comment>
    <comment ref="V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申请撤销破产影响
1.6日同意
10月19日申请后，一直涨停，联系6个板</t>
        </r>
      </text>
    </comment>
    <comment ref="W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公告日3.3买入，3.4卖出，3%</t>
        </r>
      </text>
    </comment>
    <comment ref="X10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如在摘星公告是买入，一直等到摘帽，可有92.6%涨幅</t>
        </r>
      </text>
    </comment>
    <comment ref="D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基本无涨幅</t>
        </r>
      </text>
    </comment>
    <comment ref="E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基本无涨幅</t>
        </r>
      </text>
    </comment>
    <comment ref="F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1个板，有内幕消息
6月30日报名截至</t>
        </r>
      </text>
    </comment>
    <comment ref="K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当日涨停</t>
        </r>
      </text>
    </comment>
    <comment ref="N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持续涨</t>
        </r>
      </text>
    </comment>
    <comment ref="O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持续涨</t>
        </r>
      </text>
    </comment>
    <comment ref="V11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审批破产解除，1.13日同意</t>
        </r>
      </text>
    </comment>
    <comment ref="B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D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申请的时候股票涨停，受理股票无变化</t>
        </r>
      </text>
    </comment>
    <comment ref="E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当日涨停</t>
        </r>
      </text>
    </comment>
    <comment ref="F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当日涨停，连续涨停2天，此后一直涨。</t>
        </r>
      </text>
    </comment>
    <comment ref="G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公告确定重整投资人，5个板</t>
        </r>
      </text>
    </comment>
    <comment ref="K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因同时叠加退市风险，所以跌停</t>
        </r>
      </text>
    </comment>
    <comment ref="O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连续2个跌停，大概是因为财投和产投方的价格与二级市场差异太大
所以跌停</t>
        </r>
      </text>
    </comment>
    <comment ref="P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连续2个跌停，大概是因为财投和产投方的价格与二级市场差异太大
所以跌停</t>
        </r>
      </text>
    </comment>
    <comment ref="Q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跌停</t>
        </r>
      </text>
    </comment>
    <comment ref="V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审批破产解除，1.10
日同意
5.8同意并继续</t>
        </r>
      </text>
    </comment>
    <comment ref="W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摘星公告1个涨停，次日涨2%</t>
        </r>
      </text>
    </comment>
    <comment ref="X12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公告时买入，摘牌退出，20%左右涨幅</t>
        </r>
      </text>
    </comment>
    <comment ref="D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持续涨停，收益100%</t>
        </r>
      </text>
    </comment>
    <comment ref="F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持续涨停</t>
        </r>
      </text>
    </comment>
    <comment ref="H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可能是由于重整价格与二级市场相差不大，所以连续3个涨停</t>
        </r>
      </text>
    </comment>
    <comment ref="K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预期兑现，之前在涨，公告当日跌
</t>
        </r>
      </text>
    </comment>
    <comment ref="V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申请撤销重整风险，1.9同意</t>
        </r>
      </text>
    </comment>
    <comment ref="W13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公告时1.9买入，到复牌2.4退出，有26%涨幅</t>
        </r>
      </text>
    </comment>
    <comment ref="A1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创业板</t>
        </r>
      </text>
    </comment>
    <comment ref="D1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当日涨停。消息</t>
        </r>
      </text>
    </comment>
    <comment ref="K1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当日跌10%</t>
        </r>
      </text>
    </comment>
    <comment ref="Q1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股价跌6%</t>
        </r>
      </text>
    </comment>
    <comment ref="V1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申请撤销破产风险</t>
        </r>
      </text>
    </comment>
    <comment ref="W14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摘牌股价无变化，可能是由于创业板，st的涨跌幅也是20%
假设于公告日买入，复牌退出，2.55，3卖出，收益17.6%</t>
        </r>
      </text>
    </comment>
    <comment ref="D1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3个涨停</t>
        </r>
      </text>
    </comment>
    <comment ref="H1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签署协议后一直涨</t>
        </r>
      </text>
    </comment>
    <comment ref="V1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撤销破产风险</t>
        </r>
      </text>
    </comment>
    <comment ref="W15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6月12日没有涨停。假设公告后2.4的价格买入，6.12日2.7卖出。12.5%涨幅</t>
        </r>
      </text>
    </comment>
    <comment ref="D1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连续4个涨停板，直到受理</t>
        </r>
      </text>
    </comment>
    <comment ref="F1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5个涨停
10月7日完毕
</t>
        </r>
      </text>
    </comment>
    <comment ref="G1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11.4终止招募</t>
        </r>
      </text>
    </comment>
    <comment ref="S1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未引进财投和产投</t>
        </r>
      </text>
    </comment>
    <comment ref="T1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未引进财投和产投</t>
        </r>
      </text>
    </comment>
    <comment ref="V16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申请破产撤销</t>
        </r>
      </text>
    </comment>
    <comment ref="W16" authorId="0" shapeId="0">
      <text>
        <r>
          <rPr>
            <b/>
            <sz val="9"/>
            <color indexed="81"/>
            <rFont val="宋体"/>
            <family val="3"/>
            <charset val="134"/>
          </rPr>
          <t>GZZC:
公告申请日2块钱买入，6月3日复牌，2.25卖出，12.5%获利</t>
        </r>
      </text>
    </comment>
    <comment ref="D1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申请日开始有7个涨停板</t>
        </r>
      </text>
    </comment>
    <comment ref="F1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之前一直涨，到公告时跌停，达到最高点</t>
        </r>
      </text>
    </comment>
    <comment ref="K1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连续涨停</t>
        </r>
      </text>
    </comment>
    <comment ref="V17" authorId="0" shapeId="0">
      <text>
        <r>
          <rPr>
            <b/>
            <sz val="9"/>
            <color indexed="81"/>
            <rFont val="宋体"/>
            <family val="3"/>
            <charset val="134"/>
          </rPr>
          <t>GZZC:</t>
        </r>
        <r>
          <rPr>
            <sz val="9"/>
            <color indexed="81"/>
            <rFont val="宋体"/>
            <family val="3"/>
            <charset val="134"/>
          </rPr>
          <t xml:space="preserve">
1.申请破产风险，1.13日同意
2.</t>
        </r>
      </text>
    </comment>
    <comment ref="W17" authorId="0" shapeId="0">
      <text>
        <r>
          <rPr>
            <b/>
            <sz val="9"/>
            <color indexed="81"/>
            <rFont val="宋体"/>
            <family val="3"/>
            <charset val="134"/>
          </rPr>
          <t>GZZC:
公告时4.39买入，复牌4.03卖出，亏损8%</t>
        </r>
      </text>
    </comment>
  </commentList>
</comments>
</file>

<file path=xl/sharedStrings.xml><?xml version="1.0" encoding="utf-8"?>
<sst xmlns="http://schemas.openxmlformats.org/spreadsheetml/2006/main" count="586" uniqueCount="487">
  <si>
    <t>公司简称</t>
  </si>
  <si>
    <t>财投入股均价（元/股）</t>
  </si>
  <si>
    <t>重整受理日股价（元/股）</t>
  </si>
  <si>
    <t>折扣率（%）</t>
  </si>
  <si>
    <t>最新收盘价-截至2023年1月20日（元/股）</t>
  </si>
  <si>
    <t>*ST星星</t>
  </si>
  <si>
    <t>*ST安控</t>
  </si>
  <si>
    <t>*ST方科</t>
  </si>
  <si>
    <t>*ST海核</t>
  </si>
  <si>
    <t>*ST雪莱</t>
  </si>
  <si>
    <t>*ST天马</t>
  </si>
  <si>
    <t>*ST中安</t>
  </si>
  <si>
    <t>*ST瑞德</t>
  </si>
  <si>
    <t>*ST博天</t>
    <phoneticPr fontId="2" type="noConversion"/>
  </si>
  <si>
    <t>002219</t>
    <phoneticPr fontId="2" type="noConversion"/>
  </si>
  <si>
    <t>代码</t>
    <phoneticPr fontId="2" type="noConversion"/>
  </si>
  <si>
    <t>002122</t>
    <phoneticPr fontId="2" type="noConversion"/>
  </si>
  <si>
    <t>600654</t>
    <phoneticPr fontId="2" type="noConversion"/>
  </si>
  <si>
    <t>002366</t>
    <phoneticPr fontId="2" type="noConversion"/>
  </si>
  <si>
    <t>300370</t>
    <phoneticPr fontId="2" type="noConversion"/>
  </si>
  <si>
    <t>600601</t>
    <phoneticPr fontId="2" type="noConversion"/>
  </si>
  <si>
    <t>002427</t>
    <phoneticPr fontId="2" type="noConversion"/>
  </si>
  <si>
    <t>002076</t>
    <phoneticPr fontId="2" type="noConversion"/>
  </si>
  <si>
    <t>20240401价格</t>
    <phoneticPr fontId="2" type="noConversion"/>
  </si>
  <si>
    <t>序号</t>
    <phoneticPr fontId="2" type="noConversion"/>
  </si>
  <si>
    <t>股票名称</t>
    <phoneticPr fontId="2" type="noConversion"/>
  </si>
  <si>
    <t>申请重整</t>
    <phoneticPr fontId="2" type="noConversion"/>
  </si>
  <si>
    <t>受理预重整</t>
    <phoneticPr fontId="2" type="noConversion"/>
  </si>
  <si>
    <t>法院受理重整</t>
    <phoneticPr fontId="2" type="noConversion"/>
  </si>
  <si>
    <t>公告重整计划</t>
    <phoneticPr fontId="2" type="noConversion"/>
  </si>
  <si>
    <t>批准重整计划</t>
    <phoneticPr fontId="2" type="noConversion"/>
  </si>
  <si>
    <t>重整计划执行完成</t>
    <phoneticPr fontId="2" type="noConversion"/>
  </si>
  <si>
    <t>*ST西钢</t>
    <phoneticPr fontId="2" type="noConversion"/>
  </si>
  <si>
    <t>*ST明诚</t>
    <phoneticPr fontId="2" type="noConversion"/>
  </si>
  <si>
    <t>*ST洲际</t>
    <phoneticPr fontId="2" type="noConversion"/>
  </si>
  <si>
    <t>*ST京蓝</t>
    <phoneticPr fontId="2" type="noConversion"/>
  </si>
  <si>
    <t>*ST广田</t>
    <phoneticPr fontId="2" type="noConversion"/>
  </si>
  <si>
    <t>*ST商城</t>
    <phoneticPr fontId="2" type="noConversion"/>
  </si>
  <si>
    <t>*ST全筑</t>
    <phoneticPr fontId="2" type="noConversion"/>
  </si>
  <si>
    <t>*ST新联</t>
    <phoneticPr fontId="2" type="noConversion"/>
  </si>
  <si>
    <t>*ST东洋</t>
    <phoneticPr fontId="2" type="noConversion"/>
  </si>
  <si>
    <t>*ST中捷</t>
    <phoneticPr fontId="2" type="noConversion"/>
  </si>
  <si>
    <t>*ST榕泰</t>
    <phoneticPr fontId="2" type="noConversion"/>
  </si>
  <si>
    <t>002721</t>
    <phoneticPr fontId="2" type="noConversion"/>
  </si>
  <si>
    <t>000711</t>
    <phoneticPr fontId="2" type="noConversion"/>
  </si>
  <si>
    <t>000796</t>
    <phoneticPr fontId="2" type="noConversion"/>
  </si>
  <si>
    <t>002482</t>
    <phoneticPr fontId="2" type="noConversion"/>
  </si>
  <si>
    <t>产投价格（元/股）</t>
    <phoneticPr fontId="2" type="noConversion"/>
  </si>
  <si>
    <t>财投价格（元/股）</t>
    <phoneticPr fontId="2" type="noConversion"/>
  </si>
  <si>
    <t>/</t>
    <phoneticPr fontId="2" type="noConversion"/>
  </si>
  <si>
    <t>回报率</t>
    <phoneticPr fontId="2" type="noConversion"/>
  </si>
  <si>
    <t>重整计划完成时间</t>
    <phoneticPr fontId="2" type="noConversion"/>
  </si>
  <si>
    <t>*ST恒康</t>
    <phoneticPr fontId="2" type="noConversion"/>
  </si>
  <si>
    <t>解禁日价格</t>
    <phoneticPr fontId="2" type="noConversion"/>
  </si>
  <si>
    <t>3.1-2.8</t>
    <phoneticPr fontId="2" type="noConversion"/>
  </si>
  <si>
    <t>*ST尤夫</t>
    <phoneticPr fontId="2" type="noConversion"/>
  </si>
  <si>
    <t>*ST步高</t>
    <phoneticPr fontId="2" type="noConversion"/>
  </si>
  <si>
    <t>*ST花王</t>
    <phoneticPr fontId="2" type="noConversion"/>
  </si>
  <si>
    <t>*ST文投</t>
    <phoneticPr fontId="2" type="noConversion"/>
  </si>
  <si>
    <t>*ST汉马</t>
    <phoneticPr fontId="2" type="noConversion"/>
  </si>
  <si>
    <t>*ST东园</t>
    <phoneticPr fontId="2" type="noConversion"/>
  </si>
  <si>
    <t>*ST合泰</t>
    <phoneticPr fontId="2" type="noConversion"/>
  </si>
  <si>
    <t>*ST傲农</t>
    <phoneticPr fontId="2" type="noConversion"/>
  </si>
  <si>
    <t>*ST通脉</t>
    <phoneticPr fontId="2" type="noConversion"/>
  </si>
  <si>
    <t>603007</t>
    <phoneticPr fontId="2" type="noConversion"/>
  </si>
  <si>
    <t>300209</t>
    <phoneticPr fontId="2" type="noConversion"/>
  </si>
  <si>
    <t>600375</t>
    <phoneticPr fontId="2" type="noConversion"/>
  </si>
  <si>
    <t>002310</t>
    <phoneticPr fontId="2" type="noConversion"/>
  </si>
  <si>
    <t>002217</t>
    <phoneticPr fontId="2" type="noConversion"/>
  </si>
  <si>
    <t>603363</t>
    <phoneticPr fontId="2" type="noConversion"/>
  </si>
  <si>
    <t>603559</t>
    <phoneticPr fontId="2" type="noConversion"/>
  </si>
  <si>
    <t>摘星时间</t>
    <phoneticPr fontId="2" type="noConversion"/>
  </si>
  <si>
    <t>*ST金一</t>
    <phoneticPr fontId="2" type="noConversion"/>
  </si>
  <si>
    <t>*ST正邦</t>
    <phoneticPr fontId="2" type="noConversion"/>
  </si>
  <si>
    <t>*ST豆神</t>
    <phoneticPr fontId="2" type="noConversion"/>
  </si>
  <si>
    <t>无</t>
    <phoneticPr fontId="2" type="noConversion"/>
  </si>
  <si>
    <t>*ST金科</t>
  </si>
  <si>
    <t>炼石航空</t>
  </si>
  <si>
    <t>ST三圣</t>
  </si>
  <si>
    <t>*ST开元</t>
  </si>
  <si>
    <t>*ST景峰</t>
  </si>
  <si>
    <t>*ST鹏博</t>
  </si>
  <si>
    <t>2024-11-21申请终止重整及预重整事项</t>
  </si>
  <si>
    <t>ST中装</t>
  </si>
  <si>
    <t>金刚光伏</t>
  </si>
  <si>
    <t>000656</t>
    <phoneticPr fontId="2" type="noConversion"/>
  </si>
  <si>
    <t>*ST仁东</t>
    <phoneticPr fontId="2" type="noConversion"/>
  </si>
  <si>
    <t>长药控股</t>
    <phoneticPr fontId="2" type="noConversion"/>
  </si>
  <si>
    <t>000697</t>
    <phoneticPr fontId="2" type="noConversion"/>
  </si>
  <si>
    <t>002742</t>
    <phoneticPr fontId="2" type="noConversion"/>
  </si>
  <si>
    <t>000908</t>
    <phoneticPr fontId="2" type="noConversion"/>
  </si>
  <si>
    <t>*ST吉药</t>
    <phoneticPr fontId="2" type="noConversion"/>
  </si>
  <si>
    <t>*ST宁科</t>
    <phoneticPr fontId="2" type="noConversion"/>
  </si>
  <si>
    <t>*ST名家</t>
    <phoneticPr fontId="2" type="noConversion"/>
  </si>
  <si>
    <t>*ST嘉寓</t>
    <phoneticPr fontId="2" type="noConversion"/>
  </si>
  <si>
    <t>2024-12-02法院批准终结预重整</t>
    <phoneticPr fontId="2" type="noConversion"/>
  </si>
  <si>
    <t>*ST同洲</t>
    <phoneticPr fontId="2" type="noConversion"/>
  </si>
  <si>
    <t>002052</t>
    <phoneticPr fontId="2" type="noConversion"/>
  </si>
  <si>
    <t>ST美谷</t>
    <phoneticPr fontId="2" type="noConversion"/>
  </si>
  <si>
    <t>000615</t>
    <phoneticPr fontId="2" type="noConversion"/>
  </si>
  <si>
    <t>华闻集团</t>
    <phoneticPr fontId="2" type="noConversion"/>
  </si>
  <si>
    <t>000793</t>
    <phoneticPr fontId="2" type="noConversion"/>
  </si>
  <si>
    <t>002713</t>
    <phoneticPr fontId="2" type="noConversion"/>
  </si>
  <si>
    <t>张家界</t>
    <phoneticPr fontId="2" type="noConversion"/>
  </si>
  <si>
    <t>ST天邦</t>
    <phoneticPr fontId="2" type="noConversion"/>
  </si>
  <si>
    <t>002124</t>
    <phoneticPr fontId="2" type="noConversion"/>
  </si>
  <si>
    <t>ST聆达</t>
    <phoneticPr fontId="2" type="noConversion"/>
  </si>
  <si>
    <t>002822</t>
    <phoneticPr fontId="2" type="noConversion"/>
  </si>
  <si>
    <t>东方集团</t>
    <phoneticPr fontId="2" type="noConversion"/>
  </si>
  <si>
    <t>ST旭蓝</t>
    <phoneticPr fontId="2" type="noConversion"/>
  </si>
  <si>
    <t>000040</t>
    <phoneticPr fontId="2" type="noConversion"/>
  </si>
  <si>
    <t>ST高鸿</t>
    <phoneticPr fontId="2" type="noConversion"/>
  </si>
  <si>
    <t>000851</t>
    <phoneticPr fontId="2" type="noConversion"/>
  </si>
  <si>
    <t>跨境通</t>
    <phoneticPr fontId="2" type="noConversion"/>
  </si>
  <si>
    <t>002640</t>
    <phoneticPr fontId="2" type="noConversion"/>
  </si>
  <si>
    <t>策略总结：</t>
    <phoneticPr fontId="2" type="noConversion"/>
  </si>
  <si>
    <t>1.跟进2024年已经完成破产重整的，价格接近财投价格的可以进。</t>
    <phoneticPr fontId="2" type="noConversion"/>
  </si>
  <si>
    <t>3.跟踪2025年度新受理的st，在破产重整草案公告当日，可根据价格看是否二级有进入空间</t>
    <phoneticPr fontId="2" type="noConversion"/>
  </si>
  <si>
    <t>重整草案</t>
    <phoneticPr fontId="2" type="noConversion"/>
  </si>
  <si>
    <t>备注</t>
    <phoneticPr fontId="2" type="noConversion"/>
  </si>
  <si>
    <t>重整草案公示后，连涨25%，价格到6.2元/股</t>
    <phoneticPr fontId="2" type="noConversion"/>
  </si>
  <si>
    <t>重点跟踪，价格在5元时，可入</t>
    <phoneticPr fontId="2" type="noConversion"/>
  </si>
  <si>
    <t>000430</t>
    <phoneticPr fontId="2" type="noConversion"/>
  </si>
  <si>
    <t>2025-3-5法院批准预终结</t>
    <phoneticPr fontId="2" type="noConversion"/>
  </si>
  <si>
    <t>摘帽时间</t>
    <phoneticPr fontId="2" type="noConversion"/>
  </si>
  <si>
    <t>2025.1.23公开招募重整投资人</t>
    <phoneticPr fontId="2" type="noConversion"/>
  </si>
  <si>
    <t>2024.12.14公开招募重整投资人</t>
    <phoneticPr fontId="2" type="noConversion"/>
  </si>
  <si>
    <t>2024.10.29公开招募重整投资人</t>
    <phoneticPr fontId="2" type="noConversion"/>
  </si>
  <si>
    <t>2024.12.26公开招募重整投资人</t>
    <phoneticPr fontId="2" type="noConversion"/>
  </si>
  <si>
    <t>2024.11.30公开招募重整投资人</t>
    <phoneticPr fontId="2" type="noConversion"/>
  </si>
  <si>
    <t>2.等待2024年度摘星摘帽行情，通常在6月。</t>
    <phoneticPr fontId="2" type="noConversion"/>
  </si>
  <si>
    <t>4.破产重整草案公布也可能会有一波行情，比如东易日盛。</t>
    <phoneticPr fontId="2" type="noConversion"/>
  </si>
  <si>
    <t>*ST红阳</t>
    <phoneticPr fontId="2" type="noConversion"/>
  </si>
  <si>
    <t>5.新受理的st，公开遴选投资人也有一波行情。</t>
    <phoneticPr fontId="2" type="noConversion"/>
  </si>
  <si>
    <t>买入红太阳</t>
    <phoneticPr fontId="2" type="noConversion"/>
  </si>
  <si>
    <t>买入傲农，也可以买汉马</t>
    <phoneticPr fontId="2" type="noConversion"/>
  </si>
  <si>
    <t>遴选投资人</t>
    <phoneticPr fontId="2" type="noConversion"/>
  </si>
  <si>
    <t>东易日盛</t>
    <phoneticPr fontId="2" type="noConversion"/>
  </si>
  <si>
    <t>申请撤销风险警示、退市风险的公告</t>
  </si>
  <si>
    <t>股票名称</t>
  </si>
  <si>
    <t>代码</t>
  </si>
  <si>
    <t>预重整</t>
  </si>
  <si>
    <t>正式重整</t>
  </si>
  <si>
    <t>重整计划执行完成</t>
  </si>
  <si>
    <t>产投价格（元/股）</t>
  </si>
  <si>
    <t>摘星时间</t>
  </si>
  <si>
    <t>摘帽时间</t>
  </si>
  <si>
    <t>备注</t>
  </si>
  <si>
    <t>受理预重整</t>
  </si>
  <si>
    <t>招募预重整
投资人</t>
  </si>
  <si>
    <t>预重整签署投资协议</t>
  </si>
  <si>
    <t>公告预重整计划草案</t>
  </si>
  <si>
    <t>投票通过重整计划草案</t>
  </si>
  <si>
    <t>法院受理重整</t>
  </si>
  <si>
    <t>招募重整投资人</t>
  </si>
  <si>
    <t>签署重整投资协议</t>
  </si>
  <si>
    <t>公告重整计划草案</t>
  </si>
  <si>
    <t>投票通过重整计划</t>
  </si>
  <si>
    <t>批准重整计划</t>
  </si>
  <si>
    <t>指定临时管理人</t>
  </si>
  <si>
    <t>关于招募进展的公告</t>
    <phoneticPr fontId="2" type="noConversion"/>
  </si>
  <si>
    <t>财投价格（元/股）及公告时间</t>
    <phoneticPr fontId="2" type="noConversion"/>
  </si>
  <si>
    <t>财投解禁时间</t>
    <phoneticPr fontId="2" type="noConversion"/>
  </si>
  <si>
    <t>其他机会</t>
    <phoneticPr fontId="2" type="noConversion"/>
  </si>
  <si>
    <t>2023-11-30
2024-3-28</t>
    <phoneticPr fontId="2" type="noConversion"/>
  </si>
  <si>
    <t>/</t>
    <phoneticPr fontId="2" type="noConversion"/>
  </si>
  <si>
    <t>2022-12-21日子公司被法院裁定实质合并重整公告，股价最低3.94，次日涨停，最高到4.5，14.2%涨幅。
2023-4-29日戴帽，持续跌停
2023-7-21日戴星，持续跌。</t>
    <phoneticPr fontId="2" type="noConversion"/>
  </si>
  <si>
    <t>2023-5-18
2023-7-24</t>
    <phoneticPr fontId="2" type="noConversion"/>
  </si>
  <si>
    <t>/</t>
    <phoneticPr fontId="2" type="noConversion"/>
  </si>
  <si>
    <t>2023-12-26
2024-4-30</t>
    <phoneticPr fontId="2" type="noConversion"/>
  </si>
  <si>
    <t>2024.6.8公告，2024.6.11停牌，6.12摘星摘帽</t>
    <phoneticPr fontId="2" type="noConversion"/>
  </si>
  <si>
    <t>2024-2-6股票价格降至2.23，是个较好的买入时机，临近最高价格到4月9日的3.05，可有36.77%的涨幅
2024-9-18股票价格降至2.42，触发买入时机，最高价格到11月8日3.69，可有52.5%的涨幅</t>
    <phoneticPr fontId="2" type="noConversion"/>
  </si>
  <si>
    <t>2023-7-20
2023-9-23</t>
    <phoneticPr fontId="2" type="noConversion"/>
  </si>
  <si>
    <t>2023-12-26
2024-3-20
2024-7-9</t>
    <phoneticPr fontId="2" type="noConversion"/>
  </si>
  <si>
    <t>2024-7-2股票价格降至1.87，与财投价格接近，触发买入时机，临近最高价格10.8日3.1，可有65.7%涨幅</t>
    <phoneticPr fontId="2" type="noConversion"/>
  </si>
  <si>
    <t>002021</t>
    <phoneticPr fontId="2" type="noConversion"/>
  </si>
  <si>
    <t>6.确定重整投资人，也是一个买点</t>
    <phoneticPr fontId="2" type="noConversion"/>
  </si>
  <si>
    <t>2023-7-4
2023-8-4
2023-9-5
2023-10-10</t>
    <phoneticPr fontId="2" type="noConversion"/>
  </si>
  <si>
    <t>2023-10-14日公告产业投资人和财务投资人的价格为0.98元/股，与股价相差太大，导致后续可能发生的波段失灵。所以，破产重整投资人的价格也是一个影响因素。</t>
    <phoneticPr fontId="2" type="noConversion"/>
  </si>
  <si>
    <t>/</t>
    <phoneticPr fontId="2" type="noConversion"/>
  </si>
  <si>
    <t>2023-6-30
2023-7-29
2023-8-31</t>
    <phoneticPr fontId="2" type="noConversion"/>
  </si>
  <si>
    <t>2024-2-6股票价格降至2.17，与财投价格接近，是个较好的买入时机，临近最高价格到3月11日的3.09，可有42.4%的涨幅
2024-8-22股票价格降至2.04，触发买入时机，最高价格到10月17日3.24，可有58.8%的涨幅</t>
    <phoneticPr fontId="2" type="noConversion"/>
  </si>
  <si>
    <t>2024-4-22股票降至1.12，与财投价格接近，到5月20日1.76，涨幅达56%。
2024-9-25公告将收购碧桂园物业公司，股价自1.41一直涨到11月14日，2.16，涨幅53%</t>
    <phoneticPr fontId="2" type="noConversion"/>
  </si>
  <si>
    <t>2024-1-3
2024-6-21</t>
    <phoneticPr fontId="2" type="noConversion"/>
  </si>
  <si>
    <t xml:space="preserve">2024-2-6股票价格降至1.97，到4月3日2.84，涨幅44%
2024-9-20，股价2元左右，到11月15日3.43，涨幅71.5%
</t>
    <phoneticPr fontId="2" type="noConversion"/>
  </si>
  <si>
    <t>2024-2-7股价1.42，到4.9，1.92，涨幅35%
2025-1-8股价1.36，来到低点，如买入，可有30%涨幅</t>
    <phoneticPr fontId="2" type="noConversion"/>
  </si>
  <si>
    <t>通常什么时候会利空出尽？</t>
    <phoneticPr fontId="2" type="noConversion"/>
  </si>
  <si>
    <t>2.带星之后关注，也是低点，通常可能会反弹</t>
    <phoneticPr fontId="2" type="noConversion"/>
  </si>
  <si>
    <t>/</t>
    <phoneticPr fontId="2" type="noConversion"/>
  </si>
  <si>
    <t>2023-12-26
2024-4-27</t>
    <phoneticPr fontId="2" type="noConversion"/>
  </si>
  <si>
    <t>2024-9-11股价1.4，到10.8日2元，涨幅42.8%。如果继续持有到12月5日，3.2元，128%涨幅</t>
    <phoneticPr fontId="2" type="noConversion"/>
  </si>
  <si>
    <t>2023-8-22
2023-9-13</t>
    <phoneticPr fontId="2" type="noConversion"/>
  </si>
  <si>
    <t>2023-12-30
2024-4-26
2024-10-19</t>
    <phoneticPr fontId="2" type="noConversion"/>
  </si>
  <si>
    <t>/</t>
    <phoneticPr fontId="2" type="noConversion"/>
  </si>
  <si>
    <t>于2024年5月退市</t>
    <phoneticPr fontId="2" type="noConversion"/>
  </si>
  <si>
    <t>3.各种处罚、立案通常是在那个时间点</t>
    <phoneticPr fontId="2" type="noConversion"/>
  </si>
  <si>
    <t>4.如果是未st招募投资人，之后的走向？</t>
    <phoneticPr fontId="2" type="noConversion"/>
  </si>
  <si>
    <t>1.发重整公告时，公司未st，也未带星。</t>
    <phoneticPr fontId="2" type="noConversion"/>
  </si>
  <si>
    <t>策略梳理</t>
    <phoneticPr fontId="2" type="noConversion"/>
  </si>
  <si>
    <t>002157</t>
    <phoneticPr fontId="2" type="noConversion"/>
  </si>
  <si>
    <t>1.通常st会有几个跌停。金一4个跌停板，正邦7个跌停</t>
    <phoneticPr fontId="2" type="noConversion"/>
  </si>
  <si>
    <t>带星戴帽</t>
    <phoneticPr fontId="2" type="noConversion"/>
  </si>
  <si>
    <t>发重整公告时，公司未st，也未带星。4月28日，停牌带星戴帽，6个跌停来到底部。1.3的价格，临近高点2.26，可有73.8%收益。</t>
    <phoneticPr fontId="2" type="noConversion"/>
  </si>
  <si>
    <t>1.如果进行投资人招募的时候，还没用st*，那么带星戴帽，将会跌停几个板，是买点！！！
2.受理的时候股票最高点。</t>
    <phoneticPr fontId="2" type="noConversion"/>
  </si>
  <si>
    <t>*ST凯撒</t>
    <phoneticPr fontId="2" type="noConversion"/>
  </si>
  <si>
    <t>发布重整公告时，已经戴星戴帽，股票没有连续跌停。没有明确的买点。</t>
    <phoneticPr fontId="2" type="noConversion"/>
  </si>
  <si>
    <t>2024-1-3
2024-4-10
2024-7-3</t>
    <phoneticPr fontId="2" type="noConversion"/>
  </si>
  <si>
    <t>2024-6-21，股价1.33，跌穿财投价格，触发买点。临近卖点7.15，2.2，可有65%的涨幅</t>
    <phoneticPr fontId="2" type="noConversion"/>
  </si>
  <si>
    <t>000620</t>
    <phoneticPr fontId="2" type="noConversion"/>
  </si>
  <si>
    <t>发招募投资人公告时，公司未st，也未带星。4月30日，停牌带星，4个跌停来到底部。此时是个买点，需要重点关注！！！</t>
    <phoneticPr fontId="2" type="noConversion"/>
  </si>
  <si>
    <t>发招募投资人公告时，公司未st，也未带星。4月29日，停牌带星，7个跌停来到底部，1.85。，如到临近高点退出，有72%收益。此时是个买点，需要重点关注！！！</t>
    <phoneticPr fontId="2" type="noConversion"/>
  </si>
  <si>
    <t>发布招募投资人公告时，已经戴星戴帽，股票没有连续跌停。如果在法院受理时6月底3元买入，到临近高点，收益约30%</t>
    <phoneticPr fontId="2" type="noConversion"/>
  </si>
  <si>
    <t>发布重整公告时，已经戴帽，但是未带星。6月10日招募后，基本到了低点，此时买入，到7月卖出，可有22%收益。</t>
    <phoneticPr fontId="2" type="noConversion"/>
  </si>
  <si>
    <t>发重整公告时，公司未st，也未带星。2022年7月带帽，连续跌停，来到低点。此时不确定是否进入重整，可小入。等招募破产重整投资人的时候，也有机会，但是没有明确的买点。</t>
    <phoneticPr fontId="2" type="noConversion"/>
  </si>
  <si>
    <t>发布重整公告时，已经戴帽，但是未带星。4月27日发布公告，停牌带星。之前连续跌停，4月27日可能是预期兑现，没有跌停了。价格来到低点2.21，然后临近高点有22%收益，等到受理后，一直到3.25，收益47%（因未招募重整投资人，所以不确定是否重整可以继续，此点可小入）</t>
    <phoneticPr fontId="2" type="noConversion"/>
  </si>
  <si>
    <t>2023-12-30
2024-3-30</t>
    <phoneticPr fontId="2" type="noConversion"/>
  </si>
  <si>
    <t>2023-10-20，股价1.45，接近财投价格（20%），触发买点，临近卖点11.15日1.79，涨幅23%
2024-2-6，股价1.37，触发买点，可至摘帽退出，75%涨幅</t>
    <phoneticPr fontId="2" type="noConversion"/>
  </si>
  <si>
    <t>发布与重整申请公告时，公司未带星戴帽，受理预重整时，已经带星戴帽。此后无明确买点。</t>
    <phoneticPr fontId="2" type="noConversion"/>
  </si>
  <si>
    <t>2024-2-6股价跌到1.64，接近财投价格，触发买点。如临近高点4月1日，2.8，有70%涨幅。如果拿住到5.29，3.35，有104%的涨幅</t>
    <phoneticPr fontId="2" type="noConversion"/>
  </si>
  <si>
    <t>2024-1-5
2024-4-25</t>
    <phoneticPr fontId="2" type="noConversion"/>
  </si>
  <si>
    <t>发布受理重整公告时，公司未带星戴帽，4.26日带星戴帽，股票跌掉25%左右，此时未招募破产重整投资人，此时可以小入。后续还有一个低点。也可以入</t>
    <phoneticPr fontId="2" type="noConversion"/>
  </si>
  <si>
    <t>002086</t>
    <phoneticPr fontId="2" type="noConversion"/>
  </si>
  <si>
    <t>申请2022-8-13
受理2022-9-6</t>
    <phoneticPr fontId="2" type="noConversion"/>
  </si>
  <si>
    <t>2023-2-17
2023-4-4
2023-6-22</t>
    <phoneticPr fontId="2" type="noConversion"/>
  </si>
  <si>
    <t>2024-1-6
2024-4-30</t>
    <phoneticPr fontId="2" type="noConversion"/>
  </si>
  <si>
    <t>2024-9-19，股票价格1.76，超过财投价格20%，持仓到12月11日，4.33，涨幅146%</t>
    <phoneticPr fontId="2" type="noConversion"/>
  </si>
  <si>
    <t>受理破产重整时公司已经戴帽。无明显买点。</t>
    <phoneticPr fontId="2" type="noConversion"/>
  </si>
  <si>
    <t>申请2023-5-30
受理2023-7-8</t>
    <phoneticPr fontId="2" type="noConversion"/>
  </si>
  <si>
    <t>2023-10-9
2023-11-4</t>
    <phoneticPr fontId="2" type="noConversion"/>
  </si>
  <si>
    <t>/</t>
    <phoneticPr fontId="2" type="noConversion"/>
  </si>
  <si>
    <t>/</t>
    <phoneticPr fontId="2" type="noConversion"/>
  </si>
  <si>
    <t>2024-1-6
2024-4-27</t>
    <phoneticPr fontId="2" type="noConversion"/>
  </si>
  <si>
    <t>申请破产重整时，已经带星戴帽，没有明确的买点。</t>
    <phoneticPr fontId="2" type="noConversion"/>
  </si>
  <si>
    <t>申请2023-6-7
受理2023-9-7</t>
    <phoneticPr fontId="2" type="noConversion"/>
  </si>
  <si>
    <t>2024-1-3
2024-3-19</t>
    <phoneticPr fontId="2" type="noConversion"/>
  </si>
  <si>
    <t>2024-2-6股价到达低点2.7，到临近高点，4月3日，4.98，涨幅84%；2024-9-18股票达到2，持有到12月3日，6.5，收益225%。</t>
    <phoneticPr fontId="2" type="noConversion"/>
  </si>
  <si>
    <t>002251</t>
    <phoneticPr fontId="2" type="noConversion"/>
  </si>
  <si>
    <t>2024-4-9
2024-4-24</t>
    <phoneticPr fontId="2" type="noConversion"/>
  </si>
  <si>
    <t>1.65/1.9</t>
    <phoneticPr fontId="2" type="noConversion"/>
  </si>
  <si>
    <t>公布价格之日通常是卖点</t>
    <phoneticPr fontId="2" type="noConversion"/>
  </si>
  <si>
    <t>2024-9-11股价接近财投价格，2.47，触发买点，到临近高点10月8日，3.12，26%涨幅，如果一直不卖，就200%收益</t>
    <phoneticPr fontId="2" type="noConversion"/>
  </si>
  <si>
    <t>申请破产、受理招募投资人的时候，均未带星戴帽，10月31日带星戴帽并受理重整，3个跌停。如果跌停时买入，可有10%涨幅</t>
    <phoneticPr fontId="2" type="noConversion"/>
  </si>
  <si>
    <t>000525</t>
    <phoneticPr fontId="2" type="noConversion"/>
  </si>
  <si>
    <t xml:space="preserve">2022-12-8
</t>
    <phoneticPr fontId="2" type="noConversion"/>
  </si>
  <si>
    <t>2023-8-18
2023-12-26</t>
    <phoneticPr fontId="2" type="noConversion"/>
  </si>
  <si>
    <t>2023-1-4
2023-7-28
2023-11-29
2024-2-24</t>
    <phoneticPr fontId="2" type="noConversion"/>
  </si>
  <si>
    <t>2024-9-28
2025-3-28</t>
    <phoneticPr fontId="2" type="noConversion"/>
  </si>
  <si>
    <t>于2025.3.20，6.07价格建仓。</t>
    <phoneticPr fontId="2" type="noConversion"/>
  </si>
  <si>
    <t>财投价格买入触发价格</t>
    <phoneticPr fontId="2" type="noConversion"/>
  </si>
  <si>
    <t>策略总结更新：</t>
    <phoneticPr fontId="2" type="noConversion"/>
  </si>
  <si>
    <t>1.在公司申请破产重整如果没有带星戴帽，那么在重整期间带星戴帽，会连续跌停，价格到达低点。如果已经招募了破产重整投资人，那么触发买点，可重仓。如果还没有招募重整投资人，小入建仓，看机会。</t>
    <phoneticPr fontId="2" type="noConversion"/>
  </si>
  <si>
    <t>2.在破产重整协议签署后，或者财投及产投价格公告后，锚定价格，在二级市场接近财投价格时，触发买点。</t>
    <phoneticPr fontId="2" type="noConversion"/>
  </si>
  <si>
    <t>3.摘帽时股票大概率会涨，在公告申请时也是一个买点。</t>
    <phoneticPr fontId="2" type="noConversion"/>
  </si>
  <si>
    <t>会计师事务所出局保留意见，是否时买点呢？</t>
    <phoneticPr fontId="2" type="noConversion"/>
  </si>
  <si>
    <t>延期回复</t>
    <phoneticPr fontId="2" type="noConversion"/>
  </si>
  <si>
    <t>2023-4-29日公司发公告，其中包括年度审计报告等一系列公告，持续经营重大不确定性的说明，出正式出报告前，连续3个跌停，股价从5.6到4.8。然后有一波小反弹，到5.46</t>
    <phoneticPr fontId="2" type="noConversion"/>
  </si>
  <si>
    <t>当公司发公告说，股价可能发生较大幅度向下除权的风险提示公告的，属于利空，要清仓。</t>
    <phoneticPr fontId="2" type="noConversion"/>
  </si>
  <si>
    <t>申请破产时，已经戴帽，整个区间明确的买点。</t>
    <phoneticPr fontId="2" type="noConversion"/>
  </si>
  <si>
    <t>本只股票因用现金购买资产被上交所问询，一直无法答复，多次延期，风险较高。不建议操作</t>
    <phoneticPr fontId="2" type="noConversion"/>
  </si>
  <si>
    <t>600715</t>
    <phoneticPr fontId="2" type="noConversion"/>
  </si>
  <si>
    <t>已申请摘星摘帽</t>
    <phoneticPr fontId="2" type="noConversion"/>
  </si>
  <si>
    <t>已摘星摘帽</t>
    <phoneticPr fontId="2" type="noConversion"/>
  </si>
  <si>
    <t>申请受理及招募投资人时均未带星戴帽，4月26日公告带星戴帽，连续2个跌停来到底部，1.63，如到临近高点5月23日，1.9卖出，涨幅16.5%。</t>
    <phoneticPr fontId="2" type="noConversion"/>
  </si>
  <si>
    <t>除权后复牌，涨停是买点</t>
    <phoneticPr fontId="2" type="noConversion"/>
  </si>
  <si>
    <t>股票于2025年4月9日来到最低点，价格1.84，如买入，4月24日临近高点2.42，涨幅31.5%。</t>
    <phoneticPr fontId="2" type="noConversion"/>
  </si>
  <si>
    <t>2024-12-24
2025-4-10</t>
    <phoneticPr fontId="2" type="noConversion"/>
  </si>
  <si>
    <t>申请预重整</t>
    <phoneticPr fontId="2" type="noConversion"/>
  </si>
  <si>
    <t>2023-7-8</t>
  </si>
  <si>
    <t>2022-9-20</t>
  </si>
  <si>
    <t>2022-4-29</t>
    <phoneticPr fontId="2" type="noConversion"/>
  </si>
  <si>
    <t xml:space="preserve">2024-2-20
</t>
    <phoneticPr fontId="2" type="noConversion"/>
  </si>
  <si>
    <t>2024-2-20</t>
    <phoneticPr fontId="2" type="noConversion"/>
  </si>
  <si>
    <t>2024-11-5
2024-11-14</t>
    <phoneticPr fontId="2" type="noConversion"/>
  </si>
  <si>
    <t>*ST有树</t>
    <phoneticPr fontId="2" type="noConversion"/>
  </si>
  <si>
    <t>*ST中利</t>
    <phoneticPr fontId="2" type="noConversion"/>
  </si>
  <si>
    <t>002309</t>
    <phoneticPr fontId="2" type="noConversion"/>
  </si>
  <si>
    <t>2024-2-7股价2.7，接近财投价格，触发买点，到临近高点3.4，有26%涨幅。如等到摘帽2月26日，则有111%涨幅</t>
    <phoneticPr fontId="2" type="noConversion"/>
  </si>
  <si>
    <t>申请破产时，已经戴帽，4月26日公告带星，4月29日复牌时涨停，股价2.62。</t>
    <phoneticPr fontId="2" type="noConversion"/>
  </si>
  <si>
    <t xml:space="preserve">公司申请破产及招募投资人时，已经戴帽。4月25日带星，带星当天涨停。
</t>
    <phoneticPr fontId="2" type="noConversion"/>
  </si>
  <si>
    <t>4.创业板的摘星摘帽，利好一般。</t>
    <phoneticPr fontId="2" type="noConversion"/>
  </si>
  <si>
    <t>7.st股票在申请破产后，带星，不是利空，不是利空！！还有可能涨停。</t>
    <phoneticPr fontId="2" type="noConversion"/>
  </si>
  <si>
    <t>2024年1月30日预告戴帽，股票连续跌停8个板到2月8日，从2.45跌至1.77。触发买点。1.8买入，到临近高点2月26日，2.36，涨幅31%。
2024年3月21日起股价一直跌，从2.4一直跌到1.41。之后连续涨，5.15日2.04，涨幅44%。</t>
    <phoneticPr fontId="2" type="noConversion"/>
  </si>
  <si>
    <t>序号</t>
    <phoneticPr fontId="2" type="noConversion"/>
  </si>
  <si>
    <t>建仓价格2</t>
    <phoneticPr fontId="2" type="noConversion"/>
  </si>
  <si>
    <t>2025-1-8
2025-04-22</t>
    <phoneticPr fontId="2" type="noConversion"/>
  </si>
  <si>
    <t>预计2025年6月25日符合摘星摘帽标准。</t>
    <phoneticPr fontId="2" type="noConversion"/>
  </si>
  <si>
    <t xml:space="preserve">公司申请破产及招募投资人时，未带星戴帽。3月29日公告带星戴帽，3个跌停，价格4.36，临近高点4月12日5.5，收益26%。
</t>
    <phoneticPr fontId="2" type="noConversion"/>
  </si>
  <si>
    <t>5.11月受理，10月是否可以埋伏呢？</t>
    <phoneticPr fontId="2" type="noConversion"/>
  </si>
  <si>
    <t>6.通常情况下公告财投和产投价格，属于预期兑现，股票开始走低。大约2个月到达股票相对低点。</t>
    <phoneticPr fontId="2" type="noConversion"/>
  </si>
  <si>
    <t>需要其他票验证</t>
    <phoneticPr fontId="2" type="noConversion"/>
  </si>
  <si>
    <t>2024-12-31
2025-3-27</t>
    <phoneticPr fontId="2" type="noConversion"/>
  </si>
  <si>
    <t>2024-5-8</t>
    <phoneticPr fontId="2" type="noConversion"/>
  </si>
  <si>
    <t>2024-5-10</t>
    <phoneticPr fontId="2" type="noConversion"/>
  </si>
  <si>
    <t>2024-7-27
2024-10-10
2024-10-16</t>
    <phoneticPr fontId="2" type="noConversion"/>
  </si>
  <si>
    <t>7.债务豁免属于利好。</t>
    <phoneticPr fontId="2" type="noConversion"/>
  </si>
  <si>
    <t>公司申请破产时，已经带星戴帽，所以在整个重整过程中没有连续跌停的明确买点。</t>
    <phoneticPr fontId="2" type="noConversion"/>
  </si>
  <si>
    <t>2024-12-31
2025-4-29</t>
    <phoneticPr fontId="2" type="noConversion"/>
  </si>
  <si>
    <t>受理前有一波，自10月16日起，1.39到11月23日受理，2.44，涨幅75.5%</t>
    <phoneticPr fontId="2" type="noConversion"/>
  </si>
  <si>
    <t>进入破产时没有带星戴帽，430公告后带星戴帽，触发买点，1.22，到临近高点，1.4，涨幅14.7%，如果一直拿着，等待受理，股价2.72，涨幅122%</t>
    <phoneticPr fontId="2" type="noConversion"/>
  </si>
  <si>
    <t>2024-11-25
2024-11-30</t>
    <phoneticPr fontId="2" type="noConversion"/>
  </si>
  <si>
    <t>2025-4-28日收到证监会立案告知书。预计半年后出结果。</t>
    <phoneticPr fontId="2" type="noConversion"/>
  </si>
  <si>
    <t>2024年4月30日是一个股票低点。因为430年报。</t>
    <phoneticPr fontId="2" type="noConversion"/>
  </si>
  <si>
    <t>重点研究一下。重新看一遍</t>
    <phoneticPr fontId="2" type="noConversion"/>
  </si>
  <si>
    <r>
      <t>进入破产时没有带星戴帽，430公告后带星戴帽，触发买点，3.13，到临近高点5月24日，4.67，涨幅49.2%，</t>
    </r>
    <r>
      <rPr>
        <sz val="11"/>
        <color theme="2" tint="-0.249977111117893"/>
        <rFont val="等线"/>
        <family val="3"/>
        <charset val="134"/>
        <scheme val="minor"/>
      </rPr>
      <t>如果一直拿着，等待受理，股价2.72，涨幅122%</t>
    </r>
    <phoneticPr fontId="2" type="noConversion"/>
  </si>
  <si>
    <t>被法院受理预重整依然跌停，来到低点，触发买点，价格2.38，此后一直上涨，到临近高点，3月22日，6.7，涨幅181%
10月1日公布财投价格后，股价持续走低，10月11日最低到2.97，触发买点，如到临近高点，4.23，涨幅42.4%</t>
    <phoneticPr fontId="2" type="noConversion"/>
  </si>
  <si>
    <t>2024-12-28
2025-4-30</t>
    <phoneticPr fontId="2" type="noConversion"/>
  </si>
  <si>
    <t>2024-12-31
2025-4-29</t>
    <phoneticPr fontId="2" type="noConversion"/>
  </si>
  <si>
    <t>2025-12
2026年4月</t>
    <phoneticPr fontId="2" type="noConversion"/>
  </si>
  <si>
    <t xml:space="preserve"> 2024-06-20</t>
    <phoneticPr fontId="2" type="noConversion"/>
  </si>
  <si>
    <t>公司申请破产重整时，已经st，无连续跌停的买点</t>
    <phoneticPr fontId="2" type="noConversion"/>
  </si>
  <si>
    <t>财投价格买入触发价格（25%）</t>
    <phoneticPr fontId="2" type="noConversion"/>
  </si>
  <si>
    <t>002647</t>
    <phoneticPr fontId="2" type="noConversion"/>
  </si>
  <si>
    <t>*ST名家</t>
  </si>
  <si>
    <t>ST聆达</t>
  </si>
  <si>
    <t>ST高鸿</t>
  </si>
  <si>
    <t>000851</t>
    <phoneticPr fontId="2" type="noConversion"/>
  </si>
  <si>
    <t>ST张家界</t>
  </si>
  <si>
    <t>ST东易</t>
  </si>
  <si>
    <t>002713</t>
    <phoneticPr fontId="2" type="noConversion"/>
  </si>
  <si>
    <t>000697</t>
    <phoneticPr fontId="2" type="noConversion"/>
  </si>
  <si>
    <t>ST香雪</t>
  </si>
  <si>
    <t>ST纳川</t>
  </si>
  <si>
    <t>金通灵</t>
  </si>
  <si>
    <t>002200</t>
  </si>
  <si>
    <t>ST长药</t>
  </si>
  <si>
    <t>跨境通</t>
    <phoneticPr fontId="2" type="noConversion"/>
  </si>
  <si>
    <t>财投/产投</t>
    <phoneticPr fontId="2" type="noConversion"/>
  </si>
  <si>
    <t>与受理相差时间</t>
    <phoneticPr fontId="2" type="noConversion"/>
  </si>
  <si>
    <t>均值7.45</t>
    <phoneticPr fontId="2" type="noConversion"/>
  </si>
  <si>
    <t>创业板股票带星戴帽涨跌幅还是20%</t>
    <phoneticPr fontId="2" type="noConversion"/>
  </si>
  <si>
    <t>1.4月22复牌时买入，4元成本，5.7日、5.8日卖出。
2.6月9日，4.59建仓</t>
    <phoneticPr fontId="2" type="noConversion"/>
  </si>
  <si>
    <t>预计6、7月受理</t>
    <phoneticPr fontId="2" type="noConversion"/>
  </si>
  <si>
    <t>立案与处罚</t>
    <phoneticPr fontId="2" type="noConversion"/>
  </si>
  <si>
    <t>受理时，没有带星戴帽。4月22日公告财报，带星戴帽，因前期价格调整，当日低开高走。跌停价格3.62元，涨到最高5.7日，5.8日宣布产投后开始跌。</t>
    <phoneticPr fontId="2" type="noConversion"/>
  </si>
  <si>
    <t>受理时，已经是st，4.29公告带星。戴帽前3个跌停。</t>
    <phoneticPr fontId="2" type="noConversion"/>
  </si>
  <si>
    <t>2025-4-24
2025-4-29</t>
    <phoneticPr fontId="2" type="noConversion"/>
  </si>
  <si>
    <t>4月29日公告戴帽。戴帽当天触发买点。</t>
    <phoneticPr fontId="2" type="noConversion"/>
  </si>
  <si>
    <t>炼石航空</t>
    <phoneticPr fontId="2" type="noConversion"/>
  </si>
  <si>
    <t>2025-4-2收到警示函的公告
2025-4-7公告《行政处罚事先告知书》。2023-8-8收到证监会的《立案告知书》，信披违法违规。8月10日公告。用时18个月。
2025-6-10收到湖北监管局《行政处罚决定书》</t>
    <phoneticPr fontId="2" type="noConversion"/>
  </si>
  <si>
    <t>申请破产时，公司没有带星戴帽。于25年4月18日带星戴帽，4个跌停，价格到6.1元。触发买点。</t>
    <phoneticPr fontId="2" type="noConversion"/>
  </si>
  <si>
    <t>受理后的走向</t>
    <phoneticPr fontId="2" type="noConversion"/>
  </si>
  <si>
    <t>法院受理到重整结束，一直走低，受理达到股票高点，3.95。公告草案时，达到次高点，3.74.</t>
    <phoneticPr fontId="2" type="noConversion"/>
  </si>
  <si>
    <t>备注：</t>
    <phoneticPr fontId="2" type="noConversion"/>
  </si>
  <si>
    <t>被申请破产时，已戴帽。在年报公告日，4月17日，带星，而后一直涨停。</t>
    <phoneticPr fontId="2" type="noConversion"/>
  </si>
  <si>
    <t>赛为智能</t>
    <phoneticPr fontId="2" type="noConversion"/>
  </si>
  <si>
    <t>瑞和股份</t>
    <phoneticPr fontId="2" type="noConversion"/>
  </si>
  <si>
    <t>002620</t>
    <phoneticPr fontId="2" type="noConversion"/>
  </si>
  <si>
    <t>1.4.29日建仓，成本2.3。6.16日清仓，19.05%盈利。
2.6.19再次建仓，成本2.54</t>
    <phoneticPr fontId="2" type="noConversion"/>
  </si>
  <si>
    <t>2025-3-21收到《行政处罚告知书》虚假记载。</t>
    <phoneticPr fontId="2" type="noConversion"/>
  </si>
  <si>
    <t>被申请破产时，未带星戴帽，3月25日因处罚戴帽。2个20%跌停，价格从10.45到6.42</t>
    <phoneticPr fontId="2" type="noConversion"/>
  </si>
  <si>
    <t>梳理：从遴选到确定是否有一波</t>
    <phoneticPr fontId="2" type="noConversion"/>
  </si>
  <si>
    <t>新研、交投、金通灵在招募中。</t>
    <phoneticPr fontId="2" type="noConversion"/>
  </si>
  <si>
    <t>关注金通灵带星戴帽看是否有机会</t>
    <phoneticPr fontId="2" type="noConversion"/>
  </si>
  <si>
    <t>重点关注炼石航空</t>
    <phoneticPr fontId="2" type="noConversion"/>
  </si>
  <si>
    <t>8.4月底年报是个关键节点，3月份不是买入股票好时机，有利好也要管住手，4月底等年报出来再操作！！</t>
    <phoneticPr fontId="2" type="noConversion"/>
  </si>
  <si>
    <t>被申请破产时，没有带星戴帽。4月24日公告年报时带星戴帽，股价从5.78跌到2.96。</t>
    <phoneticPr fontId="2" type="noConversion"/>
  </si>
  <si>
    <t>控股股东性质</t>
    <phoneticPr fontId="2" type="noConversion"/>
  </si>
  <si>
    <t>国资委</t>
    <phoneticPr fontId="2" type="noConversion"/>
  </si>
  <si>
    <t>/</t>
    <phoneticPr fontId="2" type="noConversion"/>
  </si>
  <si>
    <t>法院受理破产时，没有带星戴帽，4月16日年报后，戴帽，股票连续跌停，从10.09元跌到6.6。触发买入时机</t>
    <phoneticPr fontId="2" type="noConversion"/>
  </si>
  <si>
    <t>4.24日买入</t>
    <phoneticPr fontId="2" type="noConversion"/>
  </si>
  <si>
    <t>9.被申请破产的价格如果在低位，是不是也可以入？</t>
    <phoneticPr fontId="2" type="noConversion"/>
  </si>
  <si>
    <t>法院受理破产时，没有带星戴帽，4月29日年报公告，带星戴帽，没跌，一直涨。</t>
    <phoneticPr fontId="2" type="noConversion"/>
  </si>
  <si>
    <t>2024-10-26收到证监会《立案告知书》，信披违规。
2025-3-4收到海南证监局《行政处罚事先告知书》，公司将戴帽。2025-4-23收到海南证监局《行政处罚决定书》</t>
    <phoneticPr fontId="2" type="noConversion"/>
  </si>
  <si>
    <t>因财务数据问题被戴帽，公告后6个跌停，价格从2.83跌到2块。触发买点。</t>
    <phoneticPr fontId="2" type="noConversion"/>
  </si>
  <si>
    <t>2024-4-30因业绩戴帽，5连跌到2元5月13日。触发买点。到6月4日临近高点，2.5，涨幅25%</t>
    <phoneticPr fontId="2" type="noConversion"/>
  </si>
  <si>
    <t>2025-5-1宁波证监局《行政监管措施决定书》</t>
    <phoneticPr fontId="2" type="noConversion"/>
  </si>
  <si>
    <t>2024-4-30带星。</t>
    <phoneticPr fontId="2" type="noConversion"/>
  </si>
  <si>
    <t>2024-6-29
2025-1-25</t>
    <phoneticPr fontId="2" type="noConversion"/>
  </si>
  <si>
    <t>西发</t>
    <phoneticPr fontId="2" type="noConversion"/>
  </si>
  <si>
    <t>000908</t>
    <phoneticPr fontId="2" type="noConversion"/>
  </si>
  <si>
    <t>2024-4-30因业绩带星戴帽。没有连续跌停。</t>
    <phoneticPr fontId="2" type="noConversion"/>
  </si>
  <si>
    <t>2025年5月31日，股东大会议案未通过主动向法院申请重整及预重整。股票连续9个跌停，期间叠加延期回复交易所年报问题，持续10个跌停，股价跌到0.72，而后连续涨停</t>
    <phoneticPr fontId="2" type="noConversion"/>
  </si>
  <si>
    <t>2024-8-9
2024-8-28</t>
    <phoneticPr fontId="2" type="noConversion"/>
  </si>
  <si>
    <t>股本</t>
    <phoneticPr fontId="2" type="noConversion"/>
  </si>
  <si>
    <t>广东省广州市</t>
    <phoneticPr fontId="2" type="noConversion"/>
  </si>
  <si>
    <t>主营业务</t>
    <phoneticPr fontId="2" type="noConversion"/>
  </si>
  <si>
    <t>*ST交投</t>
    <phoneticPr fontId="2" type="noConversion"/>
  </si>
  <si>
    <t>*st新元</t>
    <phoneticPr fontId="2" type="noConversion"/>
  </si>
  <si>
    <t>300472</t>
    <phoneticPr fontId="2" type="noConversion"/>
  </si>
  <si>
    <t>第三方支付、商业保理、互联网小贷</t>
    <phoneticPr fontId="2" type="noConversion"/>
  </si>
  <si>
    <t>研究一下波段。比如：预重整一个波段？受理一个波段？</t>
    <phoneticPr fontId="2" type="noConversion"/>
  </si>
  <si>
    <t>11.3亿</t>
    <phoneticPr fontId="2" type="noConversion"/>
  </si>
  <si>
    <t>波段整理与总结</t>
    <phoneticPr fontId="2" type="noConversion"/>
  </si>
  <si>
    <t>被申请破产时，未带星戴帽。2025-1-3因法院受理破产重整带星戴帽，连续跌停，股价到4.27，触发买点</t>
    <phoneticPr fontId="2" type="noConversion"/>
  </si>
  <si>
    <t>自招募重整投资人达到股价最低点，3.02左右，然后一直到公告与重整协议签订结束10月30日，9.31
自带星戴帽后到重整草案执行完毕又一波行情。4.4到6.3，43%</t>
    <phoneticPr fontId="2" type="noConversion"/>
  </si>
  <si>
    <t>2026年3月左右</t>
    <phoneticPr fontId="2" type="noConversion"/>
  </si>
  <si>
    <t>无</t>
    <phoneticPr fontId="2" type="noConversion"/>
  </si>
  <si>
    <t>代码</t>
    <phoneticPr fontId="2" type="noConversion"/>
  </si>
  <si>
    <t>注册地/
受理法院</t>
    <phoneticPr fontId="2" type="noConversion"/>
  </si>
  <si>
    <t>民营企业</t>
    <phoneticPr fontId="2" type="noConversion"/>
  </si>
  <si>
    <t>照明工程设计施工及产品</t>
    <phoneticPr fontId="2" type="noConversion"/>
  </si>
  <si>
    <t>6.96亿</t>
    <phoneticPr fontId="2" type="noConversion"/>
  </si>
  <si>
    <t>广东省深圳市</t>
    <phoneticPr fontId="2" type="noConversion"/>
  </si>
  <si>
    <t>在被申请破产时，已经带星戴帽，无明确买点</t>
    <phoneticPr fontId="2" type="noConversion"/>
  </si>
  <si>
    <t>2024-10-17《行政监管措施决定书》</t>
    <phoneticPr fontId="2" type="noConversion"/>
  </si>
  <si>
    <t xml:space="preserve">自招募重整投资人达到股价相对低点，1.95，然后一直到公告财投进展10月30日，4.87，涨幅149%
</t>
    <phoneticPr fontId="2" type="noConversion"/>
  </si>
  <si>
    <t>ST中装</t>
    <phoneticPr fontId="2" type="noConversion"/>
  </si>
  <si>
    <t>002822</t>
    <phoneticPr fontId="2" type="noConversion"/>
  </si>
  <si>
    <t>建筑装饰、物业管理</t>
    <phoneticPr fontId="2" type="noConversion"/>
  </si>
  <si>
    <t>硅能源、智能装备</t>
    <phoneticPr fontId="2" type="noConversion"/>
  </si>
  <si>
    <t>江西抚州</t>
    <phoneticPr fontId="2" type="noConversion"/>
  </si>
  <si>
    <t>民营企业</t>
    <phoneticPr fontId="2" type="noConversion"/>
  </si>
  <si>
    <t>民营企业</t>
    <phoneticPr fontId="2" type="noConversion"/>
  </si>
  <si>
    <t>深圳法院受理重整时间较长，4个月左右</t>
    <phoneticPr fontId="2" type="noConversion"/>
  </si>
  <si>
    <t>2025-1-23
2025-2-28</t>
    <phoneticPr fontId="2" type="noConversion"/>
  </si>
  <si>
    <t>产业方行业</t>
    <phoneticPr fontId="2" type="noConversion"/>
  </si>
  <si>
    <t>垃圾焚烧发电</t>
    <phoneticPr fontId="2" type="noConversion"/>
  </si>
  <si>
    <t>2023-12-15，因信披违规被证监会立案调查。
2025-3-24，收到深圳证监局《行政处罚事先告知书》</t>
    <phoneticPr fontId="2" type="noConversion"/>
  </si>
  <si>
    <t>被st原因</t>
    <phoneticPr fontId="2" type="noConversion"/>
  </si>
  <si>
    <t>1.2024-2-27公司主要账户被冻结
2.2025-3-21《行政处罚告知书》
3.2025-4-25年报连续亏损及保留意见</t>
    <phoneticPr fontId="2" type="noConversion"/>
  </si>
  <si>
    <t>被申请到签预重整协议</t>
    <phoneticPr fontId="2" type="noConversion"/>
  </si>
  <si>
    <t>法院受理到重整结束</t>
    <phoneticPr fontId="2" type="noConversion"/>
  </si>
  <si>
    <t>职业教育</t>
    <phoneticPr fontId="2" type="noConversion"/>
  </si>
  <si>
    <t>4.03亿</t>
    <phoneticPr fontId="2" type="noConversion"/>
  </si>
  <si>
    <t>7.35亿</t>
    <phoneticPr fontId="2" type="noConversion"/>
  </si>
  <si>
    <t>民营企业</t>
    <phoneticPr fontId="2" type="noConversion"/>
  </si>
  <si>
    <t>2024-8-22收到湖南证监局《警示函》，信披被警示。</t>
    <phoneticPr fontId="2" type="noConversion"/>
  </si>
  <si>
    <t>1.三年净利润为负，财务保留意见，st
2.2023年期末净资产为负，*</t>
    <phoneticPr fontId="2" type="noConversion"/>
  </si>
  <si>
    <t>湖南长沙</t>
    <phoneticPr fontId="2" type="noConversion"/>
  </si>
  <si>
    <t>深圳嘉道功程</t>
    <phoneticPr fontId="2" type="noConversion"/>
  </si>
  <si>
    <t>产投价格（元/股）及公告时间</t>
    <phoneticPr fontId="2" type="noConversion"/>
  </si>
  <si>
    <t>自被申请预重整1.29开始启动，到签订预重整结束5.56，涨幅331%</t>
    <phoneticPr fontId="2" type="noConversion"/>
  </si>
  <si>
    <t>光伏</t>
    <phoneticPr fontId="2" type="noConversion"/>
  </si>
  <si>
    <t>2.16亿</t>
    <phoneticPr fontId="2" type="noConversion"/>
  </si>
  <si>
    <t>民营企业</t>
    <phoneticPr fontId="2" type="noConversion"/>
  </si>
  <si>
    <t>受理破产时，已经带星戴帽了，没有明确的买点。</t>
    <phoneticPr fontId="2" type="noConversion"/>
  </si>
  <si>
    <t>甘肃酒泉</t>
    <phoneticPr fontId="2" type="noConversion"/>
  </si>
  <si>
    <t>民营企业</t>
    <phoneticPr fontId="2" type="noConversion"/>
  </si>
  <si>
    <t>st东时</t>
    <phoneticPr fontId="2" type="noConversion"/>
  </si>
  <si>
    <t>受理破产时，没有带星戴帽，4月30日年报带星戴帽，触发买点，价格6.22，到签订产业投资协议6月10日，12.89，涨幅107%</t>
    <phoneticPr fontId="2" type="noConversion"/>
  </si>
  <si>
    <t>北京</t>
    <phoneticPr fontId="2" type="noConversion"/>
  </si>
  <si>
    <t>7.15亿</t>
    <phoneticPr fontId="2" type="noConversion"/>
  </si>
  <si>
    <t>2.75亿</t>
    <phoneticPr fontId="2" type="noConversion"/>
  </si>
  <si>
    <t>驾校</t>
    <phoneticPr fontId="2" type="noConversion"/>
  </si>
  <si>
    <t>1.最近一个会计年度的净利润为负，且营业收入低于1亿元；
2.财务会计报告出具无法表示意见或否定意见；
3.最近三个年度扣非净利润为负，且经营不确定性</t>
    <phoneticPr fontId="2" type="noConversion"/>
  </si>
  <si>
    <t>二股东，算力</t>
    <phoneticPr fontId="2" type="noConversion"/>
  </si>
  <si>
    <t>自7.8日受理13.4，到签订预重整结束6月10日12.89，此波段无收益。但自7.8受理，到临近高点10月24日26.涨幅94%。</t>
    <phoneticPr fontId="2" type="noConversion"/>
  </si>
  <si>
    <t>11.58亿</t>
    <phoneticPr fontId="2" type="noConversion"/>
  </si>
  <si>
    <t>无实控人/国资</t>
    <phoneticPr fontId="2" type="noConversion"/>
  </si>
  <si>
    <t>数智化应用、信息安全、IT销售</t>
    <phoneticPr fontId="2" type="noConversion"/>
  </si>
  <si>
    <t>1.主要银行账号被冻结；2.无法表示意见的内控审计报告；3. 连续3年净利润为负，且经营能力存在不确定性，2024-4-30，7个跌停</t>
    <phoneticPr fontId="2" type="noConversion"/>
  </si>
  <si>
    <t>2024-7-31收到证监会《立案告知书》，信披违规</t>
    <phoneticPr fontId="2" type="noConversion"/>
  </si>
  <si>
    <t>贵州贵阳</t>
    <phoneticPr fontId="2" type="noConversion"/>
  </si>
  <si>
    <t>8.处罚决定书，利空，如果到相对高点，卖点。</t>
    <phoneticPr fontId="2" type="noConversion"/>
  </si>
  <si>
    <t>2.68亿元</t>
    <phoneticPr fontId="2" type="noConversion"/>
  </si>
  <si>
    <t>民营企业</t>
    <phoneticPr fontId="2" type="noConversion"/>
  </si>
  <si>
    <t>光伏太阳能电池片业务、光伏发电业务</t>
    <phoneticPr fontId="2" type="noConversion"/>
  </si>
  <si>
    <t>安徽六安</t>
    <phoneticPr fontId="2" type="noConversion"/>
  </si>
  <si>
    <t>2024-12-31收到证监会《立案告知书》，信披违规。</t>
    <phoneticPr fontId="2" type="noConversion"/>
  </si>
  <si>
    <t>1.最近三个会计年度净利润为负，且最近一年经营能力存在不确定性；2.否定意见的内控报告；3.子公司停产3个月；4.违规担保6600w；</t>
    <phoneticPr fontId="2" type="noConversion"/>
  </si>
  <si>
    <t>面板</t>
    <phoneticPr fontId="2" type="noConversion"/>
  </si>
  <si>
    <t>策略梳理</t>
    <phoneticPr fontId="2" type="noConversion"/>
  </si>
  <si>
    <t>备注</t>
    <phoneticPr fontId="2" type="noConversion"/>
  </si>
  <si>
    <t>应收不到1亿元，可能存在保壳困难的情况发生</t>
    <phoneticPr fontId="2" type="noConversion"/>
  </si>
  <si>
    <t>法院受理预重整时，已经st，在2025年年报公告后带星，带星后跌停，触发买入时机。</t>
    <phoneticPr fontId="2" type="noConversion"/>
  </si>
  <si>
    <t>被申请预重整的时候股价2.63，中间股价整体趋势上涨，一直到公告确定产投，11月29日，8.1，涨幅207%。假设一直持有，到签订预重整协议，卖出，10.5，涨幅300%</t>
    <phoneticPr fontId="2" type="noConversion"/>
  </si>
  <si>
    <t>*ST新研</t>
    <phoneticPr fontId="2" type="noConversion"/>
  </si>
  <si>
    <t>*ST亚太</t>
    <phoneticPr fontId="2" type="noConversion"/>
  </si>
  <si>
    <t>‘000691</t>
    <phoneticPr fontId="2" type="noConversion"/>
  </si>
  <si>
    <t>精细化工、农药中间体研发、生产、销售</t>
    <phoneticPr fontId="2" type="noConversion"/>
  </si>
  <si>
    <t>甘肃兰州</t>
    <phoneticPr fontId="2" type="noConversion"/>
  </si>
  <si>
    <t>3.23亿</t>
    <phoneticPr fontId="2" type="noConversion"/>
  </si>
  <si>
    <t>民营企业</t>
    <phoneticPr fontId="2" type="noConversion"/>
  </si>
  <si>
    <t>广东'深圳</t>
    <phoneticPr fontId="2" type="noConversion"/>
  </si>
  <si>
    <t>带星戴帽</t>
    <phoneticPr fontId="2" type="noConversion"/>
  </si>
  <si>
    <t>预重整签署投资协议</t>
    <phoneticPr fontId="2" type="noConversion"/>
  </si>
  <si>
    <t>申请破产时，已经戴帽，没有明确买点</t>
    <phoneticPr fontId="2" type="noConversion"/>
  </si>
  <si>
    <t>财投股价</t>
    <phoneticPr fontId="2" type="noConversion"/>
  </si>
  <si>
    <t>退出时价格（50%）</t>
    <phoneticPr fontId="2" type="noConversion"/>
  </si>
  <si>
    <t>退出时价格（80%）</t>
    <phoneticPr fontId="2" type="noConversion"/>
  </si>
  <si>
    <t>管理费</t>
    <phoneticPr fontId="2" type="noConversion"/>
  </si>
  <si>
    <t>收益</t>
    <phoneticPr fontId="2" type="noConversion"/>
  </si>
  <si>
    <t>一路下跌。从申请时的15.75跌到签订预重整协议时的9。</t>
    <phoneticPr fontId="2" type="noConversion"/>
  </si>
  <si>
    <r>
      <rPr>
        <sz val="11"/>
        <color rgb="FFFF0000"/>
        <rFont val="等线"/>
        <family val="3"/>
        <charset val="134"/>
        <scheme val="minor"/>
      </rPr>
      <t>被申请预重整2023.7.8，股价5.01，到招募破产重整投资人7.27，股价5.42，</t>
    </r>
    <r>
      <rPr>
        <b/>
        <sz val="11"/>
        <color rgb="FFFF0000"/>
        <rFont val="等线"/>
        <family val="3"/>
        <charset val="134"/>
        <scheme val="minor"/>
      </rPr>
      <t>涨幅8%</t>
    </r>
    <r>
      <rPr>
        <sz val="11"/>
        <color rgb="FFFF0000"/>
        <rFont val="等线"/>
        <family val="3"/>
        <charset val="134"/>
        <scheme val="minor"/>
      </rPr>
      <t>。到8.4，股票达到阶段性高点，6.43，</t>
    </r>
    <r>
      <rPr>
        <b/>
        <sz val="11"/>
        <color rgb="FFFF0000"/>
        <rFont val="等线"/>
        <family val="3"/>
        <charset val="134"/>
        <scheme val="minor"/>
      </rPr>
      <t>涨幅28.34%</t>
    </r>
    <r>
      <rPr>
        <sz val="11"/>
        <color rgb="FFFF0000"/>
        <rFont val="等线"/>
        <family val="3"/>
        <charset val="134"/>
        <scheme val="minor"/>
      </rPr>
      <t>，</t>
    </r>
    <r>
      <rPr>
        <b/>
        <sz val="11"/>
        <color theme="6"/>
        <rFont val="等线"/>
        <family val="3"/>
        <charset val="134"/>
        <scheme val="minor"/>
      </rPr>
      <t>注意：在预重整阶段没有签订破产重整协议，法院直接受理。所以策略上是否可以考虑20%走一波呢？</t>
    </r>
    <phoneticPr fontId="2" type="noConversion"/>
  </si>
  <si>
    <r>
      <t>被申请预重整2022.4.29，股价2.5，到2023.1.31签订预重整协议，股价4.62，</t>
    </r>
    <r>
      <rPr>
        <b/>
        <sz val="11"/>
        <color rgb="FFFF0000"/>
        <rFont val="等线"/>
        <family val="3"/>
        <charset val="134"/>
        <scheme val="minor"/>
      </rPr>
      <t>涨幅84.8%</t>
    </r>
    <r>
      <rPr>
        <sz val="11"/>
        <color rgb="FFFF0000"/>
        <rFont val="等线"/>
        <family val="3"/>
        <charset val="134"/>
        <scheme val="minor"/>
      </rPr>
      <t>。
期间在2022.9.15达到阶段高点，股价5.38，涨幅</t>
    </r>
    <r>
      <rPr>
        <b/>
        <sz val="11"/>
        <color rgb="FFFF0000"/>
        <rFont val="等线"/>
        <family val="3"/>
        <charset val="134"/>
        <scheme val="minor"/>
      </rPr>
      <t xml:space="preserve">115.2%
</t>
    </r>
    <r>
      <rPr>
        <b/>
        <sz val="11"/>
        <color theme="6"/>
        <rFont val="等线"/>
        <family val="3"/>
        <charset val="134"/>
        <scheme val="minor"/>
      </rPr>
      <t>注意：是否需要设定一个收益率，如果达到，不必等到确定节点呢？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</si>
  <si>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2023.10.30法院受理时股价从5.23开始3个跌停（因为戴帽），因法院受理后，迟迟未公告产业投资人，所以股价一直下跌，跌到2024年2月8日的2.42，在签订重整协议时4.09，退出，</t>
    </r>
    <r>
      <rPr>
        <b/>
        <sz val="11"/>
        <color rgb="FFFF0000"/>
        <rFont val="等线"/>
        <family val="3"/>
        <charset val="134"/>
        <scheme val="minor"/>
      </rPr>
      <t>涨幅69%</t>
    </r>
    <r>
      <rPr>
        <sz val="11"/>
        <color rgb="FFFF0000"/>
        <rFont val="等线"/>
        <family val="3"/>
        <charset val="134"/>
        <scheme val="minor"/>
      </rPr>
      <t>。</t>
    </r>
    <r>
      <rPr>
        <sz val="11"/>
        <color theme="6"/>
        <rFont val="等线"/>
        <family val="3"/>
        <charset val="134"/>
        <scheme val="minor"/>
      </rPr>
      <t>在破产受理到破产执行完毕，只有在重整协议前有一波行情。</t>
    </r>
    <phoneticPr fontId="2" type="noConversion"/>
  </si>
  <si>
    <r>
      <t>2024.9.10法院受理后连续涨停6.08，到签订重整协议11月16日，16.49，</t>
    </r>
    <r>
      <rPr>
        <b/>
        <sz val="11"/>
        <color rgb="FFFF0000"/>
        <rFont val="等线"/>
        <family val="3"/>
        <charset val="134"/>
        <scheme val="minor"/>
      </rPr>
      <t>涨幅171%。</t>
    </r>
    <phoneticPr fontId="2" type="noConversion"/>
  </si>
  <si>
    <r>
      <t>法院受理9月19日开盘后2个跌停（因为戴帽？）8.41，此后开始反弹，11月17日签订重整协议9.71，涨幅</t>
    </r>
    <r>
      <rPr>
        <b/>
        <sz val="11"/>
        <color rgb="FFFF0000"/>
        <rFont val="等线"/>
        <family val="3"/>
        <charset val="134"/>
        <scheme val="minor"/>
      </rPr>
      <t>15.4%</t>
    </r>
    <r>
      <rPr>
        <sz val="11"/>
        <color rgb="FFFF0000"/>
        <rFont val="等线"/>
        <family val="3"/>
        <charset val="134"/>
        <scheme val="minor"/>
      </rPr>
      <t>，到重整计划实施完毕，11月2日9.75，</t>
    </r>
    <r>
      <rPr>
        <b/>
        <sz val="11"/>
        <color rgb="FFFF0000"/>
        <rFont val="等线"/>
        <family val="3"/>
        <charset val="134"/>
        <scheme val="minor"/>
      </rPr>
      <t>15.9%</t>
    </r>
    <phoneticPr fontId="2" type="noConversion"/>
  </si>
  <si>
    <r>
      <t>被申请预重整2024.2.20，股价1.4，到2024.5.14公告进展，连续涨停到2024.5.21股价1.84，</t>
    </r>
    <r>
      <rPr>
        <b/>
        <sz val="11"/>
        <color rgb="FFFF0000"/>
        <rFont val="等线"/>
        <family val="3"/>
        <charset val="134"/>
        <scheme val="minor"/>
      </rPr>
      <t>涨幅31.42%</t>
    </r>
    <r>
      <rPr>
        <sz val="11"/>
        <color rgb="FFFF0000"/>
        <rFont val="等线"/>
        <family val="3"/>
        <charset val="134"/>
        <scheme val="minor"/>
      </rPr>
      <t>。
期间在2024.3.28达到阶段高点，股价3.25，涨幅</t>
    </r>
    <r>
      <rPr>
        <b/>
        <sz val="11"/>
        <color rgb="FFFF0000"/>
        <rFont val="等线"/>
        <family val="3"/>
        <charset val="134"/>
        <scheme val="minor"/>
      </rPr>
      <t xml:space="preserve">132.1%
</t>
    </r>
    <r>
      <rPr>
        <b/>
        <sz val="11"/>
        <color theme="6"/>
        <rFont val="等线"/>
        <family val="3"/>
        <charset val="134"/>
        <scheme val="minor"/>
      </rPr>
      <t>注意：是否需要设定一个收益率，如果达到，不必等到确定节点呢？</t>
    </r>
    <phoneticPr fontId="2" type="noConversion"/>
  </si>
  <si>
    <r>
      <t>2024.10.22法院受理股价2.0，到签订重整协议11月7日，2.3，</t>
    </r>
    <r>
      <rPr>
        <b/>
        <sz val="11"/>
        <color rgb="FFFF0000"/>
        <rFont val="等线"/>
        <family val="3"/>
        <charset val="134"/>
        <scheme val="minor"/>
      </rPr>
      <t>涨幅15%。</t>
    </r>
    <phoneticPr fontId="2" type="noConversion"/>
  </si>
  <si>
    <r>
      <t>被申请预重整2024.2.20，股价1.57，到2024.8.30公告遴选投资人3.48，</t>
    </r>
    <r>
      <rPr>
        <b/>
        <sz val="11"/>
        <color rgb="FFFF0000"/>
        <rFont val="等线"/>
        <family val="3"/>
        <charset val="134"/>
        <scheme val="minor"/>
      </rPr>
      <t>涨幅121.66%</t>
    </r>
    <r>
      <rPr>
        <sz val="11"/>
        <color rgb="FFFF0000"/>
        <rFont val="等线"/>
        <family val="3"/>
        <charset val="134"/>
        <scheme val="minor"/>
      </rPr>
      <t>。
期间在2024.3.8达到阶段高点，股价3.3，涨幅</t>
    </r>
    <r>
      <rPr>
        <b/>
        <sz val="11"/>
        <color rgb="FFFF0000"/>
        <rFont val="等线"/>
        <family val="3"/>
        <charset val="134"/>
        <scheme val="minor"/>
      </rPr>
      <t xml:space="preserve">110.2%
假如在公告遴选后不卖，等待公告投资人，那么可蹲到股价24.11.13日7.14，涨幅354%
</t>
    </r>
    <r>
      <rPr>
        <b/>
        <sz val="11"/>
        <color theme="6"/>
        <rFont val="等线"/>
        <family val="3"/>
        <charset val="134"/>
        <scheme val="minor"/>
      </rPr>
      <t>注意：是否需要设定一个收益率，如果达到，不必等到确定节点呢？</t>
    </r>
    <phoneticPr fontId="2" type="noConversion"/>
  </si>
  <si>
    <r>
      <t>2024.9.30法院受理股价4.45，到签订重整协议11月16日，6，</t>
    </r>
    <r>
      <rPr>
        <b/>
        <sz val="11"/>
        <color rgb="FFFF0000"/>
        <rFont val="等线"/>
        <family val="3"/>
        <charset val="134"/>
        <scheme val="minor"/>
      </rPr>
      <t>涨幅34.8%。</t>
    </r>
    <phoneticPr fontId="2" type="noConversion"/>
  </si>
  <si>
    <r>
      <t>被申请预重整2023.1.19，股价4.5，到2024.8.22签订预重整投资协议4.83，</t>
    </r>
    <r>
      <rPr>
        <b/>
        <sz val="11"/>
        <color rgb="FFFF0000"/>
        <rFont val="等线"/>
        <family val="3"/>
        <charset val="134"/>
        <scheme val="minor"/>
      </rPr>
      <t>涨幅7.3%</t>
    </r>
    <r>
      <rPr>
        <sz val="11"/>
        <color rgb="FFFF0000"/>
        <rFont val="等线"/>
        <family val="3"/>
        <charset val="134"/>
        <scheme val="minor"/>
      </rPr>
      <t>。
期间在2024.2.13达到阶段高点，股价5.54，涨幅23</t>
    </r>
    <r>
      <rPr>
        <b/>
        <sz val="11"/>
        <color rgb="FFFF0000"/>
        <rFont val="等线"/>
        <family val="3"/>
        <charset val="134"/>
        <scheme val="minor"/>
      </rPr>
      <t xml:space="preserve">%
</t>
    </r>
    <r>
      <rPr>
        <b/>
        <sz val="11"/>
        <color theme="6"/>
        <rFont val="等线"/>
        <family val="3"/>
        <charset val="134"/>
        <scheme val="minor"/>
      </rPr>
      <t>注意：是否需要设定一个收益率，如果达到，不必等到确定节点呢？</t>
    </r>
    <phoneticPr fontId="2" type="noConversion"/>
  </si>
  <si>
    <t>大股东占用，停牌期间完成了重整</t>
    <phoneticPr fontId="2" type="noConversion"/>
  </si>
  <si>
    <r>
      <t xml:space="preserve">被申请预重整2024.1.26持续跌停，到2.7的2.76，到2024.3.20公告遴选投资人5.88，涨幅113%。
</t>
    </r>
    <r>
      <rPr>
        <b/>
        <sz val="11"/>
        <color rgb="FFFF0000"/>
        <rFont val="等线"/>
        <family val="3"/>
        <charset val="134"/>
        <scheme val="minor"/>
      </rPr>
      <t/>
    </r>
    <phoneticPr fontId="2" type="noConversion"/>
  </si>
  <si>
    <t>2024.119法院受理股价与签订重整协议是同一天，不存在投资逻辑，股价达到最高点7.93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</si>
</sst>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¥&quot;#,##0.00_);[Red]\(&quot;¥&quot;#,##0.00\)"/>
    <numFmt numFmtId="177" formatCode="0.00_);[Red]\(0.00\)"/>
  </numFmts>
  <fonts count="20">
    <font>
      <sz val="11"/>
      <color theme="1"/>
      <name val="等线"/>
      <family val="2"/>
      <charset val="134"/>
      <scheme val="minor"/>
    </font>
    <font>
      <sz val="12"/>
      <color theme="1"/>
      <name val="仿宋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2"/>
      <name val="仿宋"/>
      <family val="3"/>
      <charset val="134"/>
    </font>
    <font>
      <sz val="11"/>
      <color rgb="FF00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b/>
      <sz val="11"/>
      <color rgb="FF000000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2"/>
      <color rgb="FF000000"/>
      <name val="Arial"/>
      <family val="2"/>
    </font>
    <font>
      <sz val="11"/>
      <color theme="2" tint="-0.249977111117893"/>
      <name val="等线"/>
      <family val="3"/>
      <charset val="134"/>
      <scheme val="minor"/>
    </font>
    <font>
      <sz val="11"/>
      <color theme="6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theme="6"/>
      <name val="等线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9A42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24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9" fontId="1" fillId="0" borderId="1" xfId="1" applyFont="1" applyBorder="1" applyAlignment="1">
      <alignment horizontal="left" vertical="center" wrapText="1"/>
    </xf>
    <xf numFmtId="9" fontId="0" fillId="0" borderId="0" xfId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NumberFormat="1" applyFill="1" applyBorder="1">
      <alignment vertical="center"/>
    </xf>
    <xf numFmtId="0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 wrapText="1"/>
    </xf>
    <xf numFmtId="9" fontId="0" fillId="0" borderId="1" xfId="1" applyFont="1" applyFill="1" applyBorder="1">
      <alignment vertical="center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0" fontId="0" fillId="0" borderId="3" xfId="0" applyNumberFormat="1" applyFill="1" applyBorder="1">
      <alignment vertical="center"/>
    </xf>
    <xf numFmtId="176" fontId="0" fillId="0" borderId="0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14" fontId="0" fillId="0" borderId="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quotePrefix="1" applyBorder="1">
      <alignment vertical="center"/>
    </xf>
    <xf numFmtId="0" fontId="0" fillId="4" borderId="1" xfId="0" applyFill="1" applyBorder="1">
      <alignment vertical="center"/>
    </xf>
    <xf numFmtId="14" fontId="0" fillId="4" borderId="1" xfId="0" applyNumberFormat="1" applyFill="1" applyBorder="1">
      <alignment vertical="center"/>
    </xf>
    <xf numFmtId="0" fontId="0" fillId="4" borderId="1" xfId="0" quotePrefix="1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14" fontId="6" fillId="5" borderId="1" xfId="0" applyNumberFormat="1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14" fontId="0" fillId="0" borderId="13" xfId="0" applyNumberFormat="1" applyBorder="1" applyAlignment="1">
      <alignment horizontal="center" vertical="center" wrapText="1"/>
    </xf>
    <xf numFmtId="14" fontId="0" fillId="6" borderId="1" xfId="0" applyNumberFormat="1" applyFill="1" applyBorder="1" applyAlignment="1">
      <alignment vertical="center" wrapText="1"/>
    </xf>
    <xf numFmtId="14" fontId="6" fillId="6" borderId="1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0" fillId="6" borderId="5" xfId="0" quotePrefix="1" applyFill="1" applyBorder="1" applyAlignment="1">
      <alignment horizontal="center" vertical="center"/>
    </xf>
    <xf numFmtId="14" fontId="0" fillId="6" borderId="5" xfId="0" applyNumberFormat="1" applyFill="1" applyBorder="1">
      <alignment vertical="center"/>
    </xf>
    <xf numFmtId="14" fontId="6" fillId="6" borderId="5" xfId="0" applyNumberFormat="1" applyFont="1" applyFill="1" applyBorder="1" applyAlignment="1">
      <alignment horizontal="center" vertical="center" wrapText="1"/>
    </xf>
    <xf numFmtId="14" fontId="6" fillId="5" borderId="5" xfId="0" applyNumberFormat="1" applyFont="1" applyFill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4" fontId="0" fillId="6" borderId="13" xfId="0" applyNumberFormat="1" applyFill="1" applyBorder="1">
      <alignment vertical="center"/>
    </xf>
    <xf numFmtId="14" fontId="6" fillId="6" borderId="13" xfId="0" applyNumberFormat="1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14" fontId="0" fillId="5" borderId="1" xfId="0" applyNumberFormat="1" applyFill="1" applyBorder="1">
      <alignment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4" fontId="0" fillId="5" borderId="13" xfId="0" applyNumberFormat="1" applyFill="1" applyBorder="1">
      <alignment vertical="center"/>
    </xf>
    <xf numFmtId="14" fontId="0" fillId="0" borderId="13" xfId="0" applyNumberFormat="1" applyFill="1" applyBorder="1">
      <alignment vertical="center"/>
    </xf>
    <xf numFmtId="14" fontId="0" fillId="0" borderId="1" xfId="0" applyNumberFormat="1" applyBorder="1" applyAlignment="1">
      <alignment horizontal="center" vertical="center" wrapText="1"/>
    </xf>
    <xf numFmtId="14" fontId="0" fillId="6" borderId="13" xfId="0" applyNumberFormat="1" applyFill="1" applyBorder="1" applyAlignment="1">
      <alignment vertical="center" wrapText="1"/>
    </xf>
    <xf numFmtId="14" fontId="0" fillId="0" borderId="13" xfId="0" applyNumberFormat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14" fontId="0" fillId="6" borderId="1" xfId="0" applyNumberFormat="1" applyFill="1" applyBorder="1">
      <alignment vertical="center"/>
    </xf>
    <xf numFmtId="14" fontId="6" fillId="5" borderId="13" xfId="0" applyNumberFormat="1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4" fontId="6" fillId="5" borderId="2" xfId="0" applyNumberFormat="1" applyFont="1" applyFill="1" applyBorder="1" applyAlignment="1">
      <alignment horizontal="left" vertical="center" wrapText="1"/>
    </xf>
    <xf numFmtId="14" fontId="0" fillId="5" borderId="1" xfId="0" applyNumberForma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14" fontId="0" fillId="6" borderId="1" xfId="0" applyNumberFormat="1" applyFill="1" applyBorder="1" applyAlignment="1">
      <alignment horizontal="left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center" vertical="center" wrapText="1"/>
    </xf>
    <xf numFmtId="14" fontId="6" fillId="8" borderId="13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14" fontId="0" fillId="5" borderId="13" xfId="0" applyNumberFormat="1" applyFill="1" applyBorder="1" applyAlignment="1">
      <alignment horizontal="center" vertical="center" wrapText="1"/>
    </xf>
    <xf numFmtId="14" fontId="6" fillId="0" borderId="13" xfId="0" applyNumberFormat="1" applyFont="1" applyFill="1" applyBorder="1" applyAlignment="1">
      <alignment horizontal="center" vertical="center" wrapText="1"/>
    </xf>
    <xf numFmtId="0" fontId="0" fillId="8" borderId="1" xfId="0" applyFill="1" applyBorder="1">
      <alignment vertical="center"/>
    </xf>
    <xf numFmtId="14" fontId="0" fillId="5" borderId="13" xfId="0" applyNumberFormat="1" applyFill="1" applyBorder="1" applyAlignment="1">
      <alignment vertical="center" wrapText="1"/>
    </xf>
    <xf numFmtId="0" fontId="0" fillId="0" borderId="0" xfId="0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14" fontId="6" fillId="0" borderId="2" xfId="0" applyNumberFormat="1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0" xfId="0" applyFill="1">
      <alignment vertical="center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/>
    </xf>
    <xf numFmtId="14" fontId="0" fillId="5" borderId="13" xfId="0" applyNumberFormat="1" applyFill="1" applyBorder="1" applyAlignment="1">
      <alignment horizontal="center" vertical="center"/>
    </xf>
    <xf numFmtId="0" fontId="0" fillId="16" borderId="0" xfId="0" applyFill="1">
      <alignment vertical="center"/>
    </xf>
    <xf numFmtId="0" fontId="0" fillId="17" borderId="1" xfId="0" applyFill="1" applyBorder="1" applyAlignment="1">
      <alignment vertical="center" wrapText="1"/>
    </xf>
    <xf numFmtId="14" fontId="6" fillId="18" borderId="1" xfId="0" applyNumberFormat="1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0" fillId="8" borderId="1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6" fillId="0" borderId="21" xfId="0" applyNumberFormat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177" fontId="6" fillId="19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14" fontId="6" fillId="5" borderId="2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6" fillId="21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13" borderId="1" xfId="0" applyFont="1" applyFill="1" applyBorder="1">
      <alignment vertical="center"/>
    </xf>
    <xf numFmtId="0" fontId="4" fillId="13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Border="1">
      <alignment vertical="center"/>
    </xf>
    <xf numFmtId="0" fontId="6" fillId="12" borderId="0" xfId="0" applyFont="1" applyFill="1" applyBorder="1" applyAlignment="1">
      <alignment horizontal="center" vertical="center" wrapText="1"/>
    </xf>
    <xf numFmtId="0" fontId="0" fillId="16" borderId="0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6" fillId="0" borderId="1" xfId="0" quotePrefix="1" applyNumberFormat="1" applyFont="1" applyBorder="1" applyAlignment="1">
      <alignment horizontal="center" vertical="center"/>
    </xf>
    <xf numFmtId="0" fontId="6" fillId="0" borderId="24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14" fontId="0" fillId="5" borderId="1" xfId="0" applyNumberFormat="1" applyFont="1" applyFill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14" fontId="6" fillId="5" borderId="25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4" fontId="0" fillId="0" borderId="3" xfId="0" applyNumberFormat="1" applyBorder="1">
      <alignment vertical="center"/>
    </xf>
    <xf numFmtId="14" fontId="0" fillId="5" borderId="3" xfId="0" applyNumberFormat="1" applyFill="1" applyBorder="1">
      <alignment vertical="center"/>
    </xf>
    <xf numFmtId="14" fontId="6" fillId="5" borderId="11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 wrapText="1"/>
    </xf>
    <xf numFmtId="14" fontId="6" fillId="0" borderId="0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14" fontId="6" fillId="6" borderId="2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12" borderId="19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0" fillId="16" borderId="5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 wrapText="1"/>
    </xf>
    <xf numFmtId="0" fontId="6" fillId="19" borderId="15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20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 wrapText="1"/>
    </xf>
    <xf numFmtId="0" fontId="6" fillId="20" borderId="6" xfId="0" applyFont="1" applyFill="1" applyBorder="1" applyAlignment="1">
      <alignment horizontal="center" vertical="center" wrapText="1"/>
    </xf>
    <xf numFmtId="0" fontId="6" fillId="20" borderId="7" xfId="0" applyFont="1" applyFill="1" applyBorder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12" borderId="17" xfId="0" applyFont="1" applyFill="1" applyBorder="1" applyAlignment="1">
      <alignment horizontal="center" vertical="center" wrapText="1"/>
    </xf>
    <xf numFmtId="0" fontId="6" fillId="12" borderId="20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2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12" borderId="13" xfId="0" applyFont="1" applyFill="1" applyBorder="1" applyAlignment="1">
      <alignment horizontal="center" vertical="center" wrapText="1"/>
    </xf>
    <xf numFmtId="0" fontId="0" fillId="16" borderId="13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12" borderId="1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 vertical="center" wrapText="1"/>
    </xf>
    <xf numFmtId="14" fontId="4" fillId="9" borderId="2" xfId="0" applyNumberFormat="1" applyFont="1" applyFill="1" applyBorder="1" applyAlignment="1">
      <alignment horizontal="center" vertical="center" wrapText="1"/>
    </xf>
    <xf numFmtId="14" fontId="4" fillId="9" borderId="3" xfId="0" applyNumberFormat="1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F9A4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自定义 1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D11" sqref="D11"/>
    </sheetView>
  </sheetViews>
  <sheetFormatPr defaultRowHeight="14"/>
  <cols>
    <col min="7" max="7" width="21.75" customWidth="1"/>
  </cols>
  <sheetData>
    <row r="1" spans="1:11">
      <c r="A1" t="s">
        <v>115</v>
      </c>
    </row>
    <row r="2" spans="1:11">
      <c r="A2" t="s">
        <v>116</v>
      </c>
      <c r="H2" t="s">
        <v>134</v>
      </c>
    </row>
    <row r="3" spans="1:11">
      <c r="A3" t="s">
        <v>130</v>
      </c>
      <c r="H3" t="s">
        <v>135</v>
      </c>
    </row>
    <row r="4" spans="1:11">
      <c r="A4" t="s">
        <v>117</v>
      </c>
    </row>
    <row r="5" spans="1:11">
      <c r="A5" t="s">
        <v>131</v>
      </c>
    </row>
    <row r="6" spans="1:11">
      <c r="A6" t="s">
        <v>133</v>
      </c>
    </row>
    <row r="7" spans="1:11">
      <c r="A7" t="s">
        <v>176</v>
      </c>
    </row>
    <row r="8" spans="1:11">
      <c r="A8" s="113" t="s">
        <v>280</v>
      </c>
      <c r="B8" s="113"/>
      <c r="C8" s="113"/>
      <c r="D8" s="113"/>
      <c r="E8" s="113"/>
      <c r="F8" s="113"/>
      <c r="G8" s="113"/>
    </row>
    <row r="9" spans="1:11">
      <c r="A9" t="s">
        <v>444</v>
      </c>
    </row>
    <row r="10" spans="1:11">
      <c r="A10" t="s">
        <v>249</v>
      </c>
    </row>
    <row r="12" spans="1:11" ht="38.25" customHeight="1">
      <c r="A12" s="178" t="s">
        <v>250</v>
      </c>
      <c r="B12" s="178"/>
      <c r="C12" s="178"/>
      <c r="D12" s="178"/>
      <c r="E12" s="178"/>
      <c r="F12" s="178"/>
      <c r="G12" s="178"/>
      <c r="H12" s="178"/>
      <c r="I12" s="178"/>
      <c r="J12" s="178"/>
      <c r="K12" s="97"/>
    </row>
    <row r="13" spans="1:11">
      <c r="A13" s="179" t="s">
        <v>251</v>
      </c>
      <c r="B13" s="180"/>
      <c r="C13" s="180"/>
      <c r="D13" s="180"/>
      <c r="E13" s="180"/>
      <c r="F13" s="180"/>
      <c r="G13" s="180"/>
      <c r="H13" s="180"/>
      <c r="I13" s="180"/>
      <c r="J13" s="181"/>
    </row>
    <row r="14" spans="1:11">
      <c r="A14" s="179" t="s">
        <v>252</v>
      </c>
      <c r="B14" s="180"/>
      <c r="C14" s="180"/>
      <c r="D14" s="180"/>
      <c r="E14" s="180"/>
      <c r="F14" s="180"/>
      <c r="G14" s="180"/>
      <c r="H14" s="180"/>
      <c r="I14" s="180"/>
      <c r="J14" s="181"/>
    </row>
    <row r="15" spans="1:11">
      <c r="A15" s="179" t="s">
        <v>279</v>
      </c>
      <c r="B15" s="180"/>
      <c r="C15" s="180"/>
      <c r="D15" s="180"/>
      <c r="E15" s="180"/>
      <c r="F15" s="180"/>
      <c r="G15" s="180"/>
      <c r="H15" s="180"/>
      <c r="I15" s="180"/>
      <c r="J15" s="181"/>
    </row>
    <row r="16" spans="1:11">
      <c r="A16" t="s">
        <v>287</v>
      </c>
      <c r="E16" t="s">
        <v>302</v>
      </c>
    </row>
    <row r="17" spans="1:9">
      <c r="A17" s="118" t="s">
        <v>288</v>
      </c>
      <c r="B17" s="118"/>
      <c r="C17" s="118"/>
      <c r="D17" s="118"/>
      <c r="E17" s="118"/>
      <c r="F17" s="118"/>
      <c r="G17" s="118"/>
      <c r="H17" s="118"/>
      <c r="I17" t="s">
        <v>289</v>
      </c>
    </row>
    <row r="18" spans="1:9">
      <c r="A18" t="s">
        <v>294</v>
      </c>
    </row>
    <row r="19" spans="1:9">
      <c r="A19" t="s">
        <v>354</v>
      </c>
    </row>
    <row r="20" spans="1:9">
      <c r="A20" t="s">
        <v>361</v>
      </c>
    </row>
    <row r="23" spans="1:9">
      <c r="A23" t="s">
        <v>381</v>
      </c>
    </row>
  </sheetData>
  <mergeCells count="4">
    <mergeCell ref="A12:J12"/>
    <mergeCell ref="A13:J13"/>
    <mergeCell ref="A14:J14"/>
    <mergeCell ref="A15:J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43"/>
  <sheetViews>
    <sheetView topLeftCell="B7" workbookViewId="0">
      <pane xSplit="1" topLeftCell="C1" activePane="topRight" state="frozen"/>
      <selection activeCell="B1" sqref="B1"/>
      <selection pane="topRight" activeCell="K11" sqref="K11"/>
    </sheetView>
  </sheetViews>
  <sheetFormatPr defaultRowHeight="14"/>
  <cols>
    <col min="1" max="1" width="10.5" style="9" hidden="1" customWidth="1"/>
    <col min="2" max="2" width="13.25" style="9" customWidth="1"/>
    <col min="3" max="3" width="7.5" style="9" customWidth="1"/>
    <col min="4" max="4" width="16" style="145" customWidth="1"/>
    <col min="5" max="5" width="13" style="145" customWidth="1"/>
    <col min="6" max="6" width="8.25" style="145" customWidth="1"/>
    <col min="7" max="7" width="13" style="145" customWidth="1"/>
    <col min="8" max="8" width="11.58203125" style="9" bestFit="1" customWidth="1"/>
    <col min="9" max="9" width="11.58203125" bestFit="1" customWidth="1"/>
    <col min="10" max="10" width="14.33203125" bestFit="1" customWidth="1"/>
    <col min="11" max="12" width="11.58203125" bestFit="1" customWidth="1"/>
    <col min="13" max="13" width="11.08203125" bestFit="1" customWidth="1"/>
    <col min="14" max="14" width="10" bestFit="1" customWidth="1"/>
    <col min="16" max="16" width="11.58203125" customWidth="1"/>
    <col min="17" max="19" width="8.6640625" customWidth="1"/>
    <col min="20" max="20" width="10.5" customWidth="1"/>
    <col min="21" max="21" width="8.6640625" customWidth="1"/>
    <col min="22" max="23" width="10.5" customWidth="1"/>
    <col min="25" max="25" width="10.5" bestFit="1" customWidth="1"/>
    <col min="27" max="27" width="11.58203125" bestFit="1" customWidth="1"/>
    <col min="28" max="28" width="11.58203125" customWidth="1"/>
    <col min="29" max="29" width="10.5" bestFit="1" customWidth="1"/>
    <col min="31" max="31" width="10.5" bestFit="1" customWidth="1"/>
    <col min="34" max="34" width="27.5" customWidth="1"/>
    <col min="36" max="36" width="28.33203125" customWidth="1"/>
    <col min="37" max="37" width="31.08203125" customWidth="1"/>
    <col min="38" max="38" width="25.58203125" customWidth="1"/>
    <col min="39" max="40" width="32.25" customWidth="1"/>
    <col min="41" max="41" width="18" customWidth="1"/>
  </cols>
  <sheetData>
    <row r="1" spans="1:43" ht="27.75" customHeight="1">
      <c r="A1" s="219" t="s">
        <v>24</v>
      </c>
      <c r="B1" s="183" t="s">
        <v>139</v>
      </c>
      <c r="C1" s="183" t="s">
        <v>388</v>
      </c>
      <c r="D1" s="184" t="s">
        <v>376</v>
      </c>
      <c r="E1" s="184" t="s">
        <v>389</v>
      </c>
      <c r="F1" s="184" t="s">
        <v>374</v>
      </c>
      <c r="G1" s="184" t="s">
        <v>356</v>
      </c>
      <c r="H1" s="193" t="s">
        <v>141</v>
      </c>
      <c r="I1" s="194"/>
      <c r="J1" s="194"/>
      <c r="K1" s="194"/>
      <c r="L1" s="194"/>
      <c r="M1" s="194"/>
      <c r="N1" s="194"/>
      <c r="O1" s="195"/>
      <c r="P1" s="182" t="s">
        <v>142</v>
      </c>
      <c r="Q1" s="182"/>
      <c r="R1" s="182"/>
      <c r="S1" s="182"/>
      <c r="T1" s="182"/>
      <c r="U1" s="182"/>
      <c r="V1" s="182"/>
      <c r="W1" s="183" t="s">
        <v>143</v>
      </c>
      <c r="X1" s="202" t="s">
        <v>421</v>
      </c>
      <c r="Y1" s="203"/>
      <c r="Z1" s="210" t="s">
        <v>161</v>
      </c>
      <c r="AA1" s="210"/>
      <c r="AB1" s="200" t="s">
        <v>406</v>
      </c>
      <c r="AC1" s="183" t="s">
        <v>138</v>
      </c>
      <c r="AD1" s="198" t="s">
        <v>145</v>
      </c>
      <c r="AE1" s="211" t="s">
        <v>146</v>
      </c>
      <c r="AF1" s="213" t="s">
        <v>162</v>
      </c>
      <c r="AG1" s="208" t="s">
        <v>248</v>
      </c>
      <c r="AH1" s="191" t="s">
        <v>332</v>
      </c>
      <c r="AI1" s="196" t="s">
        <v>163</v>
      </c>
      <c r="AJ1" s="201" t="s">
        <v>383</v>
      </c>
      <c r="AK1" s="201"/>
      <c r="AL1" s="196" t="s">
        <v>465</v>
      </c>
      <c r="AM1" s="196" t="s">
        <v>409</v>
      </c>
      <c r="AN1" s="206" t="s">
        <v>453</v>
      </c>
      <c r="AO1" s="198" t="s">
        <v>452</v>
      </c>
      <c r="AP1" s="185" t="s">
        <v>310</v>
      </c>
      <c r="AQ1" s="187" t="s">
        <v>283</v>
      </c>
    </row>
    <row r="2" spans="1:43" ht="27.5" customHeight="1">
      <c r="A2" s="220"/>
      <c r="B2" s="184"/>
      <c r="C2" s="184"/>
      <c r="D2" s="218"/>
      <c r="E2" s="218"/>
      <c r="F2" s="218"/>
      <c r="G2" s="218"/>
      <c r="H2" s="37" t="s">
        <v>266</v>
      </c>
      <c r="I2" s="37" t="s">
        <v>148</v>
      </c>
      <c r="J2" s="126" t="s">
        <v>159</v>
      </c>
      <c r="K2" s="37" t="s">
        <v>149</v>
      </c>
      <c r="L2" s="37" t="s">
        <v>160</v>
      </c>
      <c r="M2" s="37" t="s">
        <v>150</v>
      </c>
      <c r="N2" s="37" t="s">
        <v>151</v>
      </c>
      <c r="O2" s="37" t="s">
        <v>152</v>
      </c>
      <c r="P2" s="37" t="s">
        <v>153</v>
      </c>
      <c r="Q2" s="37" t="s">
        <v>154</v>
      </c>
      <c r="R2" s="37" t="s">
        <v>160</v>
      </c>
      <c r="S2" s="37" t="s">
        <v>155</v>
      </c>
      <c r="T2" s="37" t="s">
        <v>156</v>
      </c>
      <c r="U2" s="37" t="s">
        <v>157</v>
      </c>
      <c r="V2" s="126" t="s">
        <v>158</v>
      </c>
      <c r="W2" s="184"/>
      <c r="X2" s="204"/>
      <c r="Y2" s="205"/>
      <c r="Z2" s="210"/>
      <c r="AA2" s="210"/>
      <c r="AB2" s="200"/>
      <c r="AC2" s="184"/>
      <c r="AD2" s="199"/>
      <c r="AE2" s="212"/>
      <c r="AF2" s="214"/>
      <c r="AG2" s="209"/>
      <c r="AH2" s="192"/>
      <c r="AI2" s="197"/>
      <c r="AJ2" s="122" t="s">
        <v>411</v>
      </c>
      <c r="AK2" s="122" t="s">
        <v>412</v>
      </c>
      <c r="AL2" s="197"/>
      <c r="AM2" s="197"/>
      <c r="AN2" s="207"/>
      <c r="AO2" s="199"/>
      <c r="AP2" s="186"/>
      <c r="AQ2" s="188"/>
    </row>
    <row r="3" spans="1:43" ht="27.75" customHeight="1">
      <c r="A3" s="128">
        <v>1</v>
      </c>
      <c r="B3" s="112" t="s">
        <v>325</v>
      </c>
      <c r="C3" s="8" t="s">
        <v>114</v>
      </c>
      <c r="D3" s="8"/>
      <c r="E3" s="8"/>
      <c r="F3" s="8"/>
      <c r="G3" s="8"/>
      <c r="H3" s="51">
        <v>45062</v>
      </c>
      <c r="I3" s="37"/>
      <c r="J3" s="126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126"/>
      <c r="W3" s="37"/>
      <c r="X3" s="111"/>
      <c r="Y3" s="122"/>
      <c r="Z3" s="111"/>
      <c r="AA3" s="111"/>
      <c r="AB3" s="122"/>
      <c r="AC3" s="111"/>
      <c r="AD3" s="109"/>
      <c r="AE3" s="109"/>
      <c r="AF3" s="111"/>
      <c r="AG3" s="101"/>
      <c r="AH3" s="101"/>
      <c r="AI3" s="135"/>
      <c r="AJ3" s="135"/>
      <c r="AK3" s="109"/>
      <c r="AL3" s="135"/>
      <c r="AM3" s="110"/>
      <c r="AN3" s="150"/>
      <c r="AO3" s="109"/>
      <c r="AP3" s="101"/>
      <c r="AQ3" s="136"/>
    </row>
    <row r="4" spans="1:43" ht="27.75" customHeight="1">
      <c r="A4" s="151">
        <v>2</v>
      </c>
      <c r="B4" s="112" t="s">
        <v>78</v>
      </c>
      <c r="C4" s="37" t="s">
        <v>89</v>
      </c>
      <c r="D4" s="125"/>
      <c r="E4" s="125"/>
      <c r="F4" s="125"/>
      <c r="G4" s="8"/>
      <c r="H4" s="137">
        <v>45104</v>
      </c>
      <c r="I4" s="37"/>
      <c r="J4" s="129"/>
      <c r="K4" s="51">
        <v>45565</v>
      </c>
      <c r="L4" s="51">
        <v>45597</v>
      </c>
      <c r="M4" s="137">
        <v>45645</v>
      </c>
      <c r="N4" s="51">
        <v>45667</v>
      </c>
      <c r="O4" s="37"/>
      <c r="P4" s="37"/>
      <c r="Q4" s="37"/>
      <c r="R4" s="37"/>
      <c r="S4" s="37"/>
      <c r="T4" s="37"/>
      <c r="U4" s="37"/>
      <c r="V4" s="126"/>
      <c r="W4" s="37"/>
      <c r="X4" s="111">
        <v>1.53</v>
      </c>
      <c r="Y4" s="122"/>
      <c r="Z4" s="111">
        <v>2</v>
      </c>
      <c r="AA4" s="35">
        <v>45645</v>
      </c>
      <c r="AB4" s="35"/>
      <c r="AC4" s="111"/>
      <c r="AD4" s="109"/>
      <c r="AE4" s="109"/>
      <c r="AF4" s="111"/>
      <c r="AG4" s="101">
        <f>Z4*1.25</f>
        <v>2.5</v>
      </c>
      <c r="AH4" s="101"/>
      <c r="AI4" s="135"/>
      <c r="AJ4" s="135"/>
      <c r="AK4" s="109"/>
      <c r="AL4" s="135"/>
      <c r="AM4" s="110"/>
      <c r="AN4" s="150"/>
      <c r="AO4" s="109" t="s">
        <v>331</v>
      </c>
      <c r="AP4" s="101">
        <f>Z4*1.25</f>
        <v>2.5</v>
      </c>
      <c r="AQ4" s="136">
        <v>3.7</v>
      </c>
    </row>
    <row r="5" spans="1:43">
      <c r="A5" s="112">
        <v>3</v>
      </c>
      <c r="B5" s="112" t="s">
        <v>76</v>
      </c>
      <c r="C5" s="8" t="s">
        <v>85</v>
      </c>
      <c r="D5" s="8"/>
      <c r="E5" s="8"/>
      <c r="F5" s="8"/>
      <c r="G5" s="8"/>
      <c r="H5" s="107">
        <v>45139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101">
        <f t="shared" ref="AG5:AG30" si="0">Z5*1.25</f>
        <v>0</v>
      </c>
      <c r="AH5" s="6"/>
      <c r="AI5" s="6"/>
      <c r="AJ5" s="6"/>
      <c r="AK5" s="6"/>
      <c r="AL5" s="6"/>
      <c r="AM5" s="6"/>
      <c r="AN5" s="6"/>
      <c r="AO5" s="6"/>
      <c r="AP5" s="101"/>
      <c r="AQ5" s="136"/>
    </row>
    <row r="6" spans="1:43" ht="56">
      <c r="A6" s="151">
        <v>4</v>
      </c>
      <c r="B6" s="112" t="s">
        <v>104</v>
      </c>
      <c r="C6" s="8" t="s">
        <v>105</v>
      </c>
      <c r="D6" s="8"/>
      <c r="E6" s="8"/>
      <c r="F6" s="8"/>
      <c r="G6" s="8"/>
      <c r="H6" s="107">
        <v>45370</v>
      </c>
      <c r="I6" s="137">
        <v>45514</v>
      </c>
      <c r="J6" s="137">
        <v>45532</v>
      </c>
      <c r="K6" s="137">
        <v>45565</v>
      </c>
      <c r="L6" s="137">
        <v>45587</v>
      </c>
      <c r="M6" s="10">
        <v>45786</v>
      </c>
      <c r="N6" s="6"/>
      <c r="O6" s="6"/>
      <c r="P6" s="6"/>
      <c r="Q6" s="6"/>
      <c r="R6" s="6"/>
      <c r="S6" s="6"/>
      <c r="T6" s="6"/>
      <c r="U6" s="6"/>
      <c r="V6" s="6"/>
      <c r="W6" s="6"/>
      <c r="X6" s="6">
        <v>1.85</v>
      </c>
      <c r="Y6" s="10">
        <v>45786</v>
      </c>
      <c r="Z6" s="6">
        <v>2.1</v>
      </c>
      <c r="AA6" s="10">
        <v>45835</v>
      </c>
      <c r="AB6" s="10"/>
      <c r="AC6" s="10">
        <v>45717</v>
      </c>
      <c r="AD6" s="6"/>
      <c r="AE6" s="10">
        <v>45777</v>
      </c>
      <c r="AF6" s="6"/>
      <c r="AG6" s="101">
        <f t="shared" si="0"/>
        <v>2.625</v>
      </c>
      <c r="AH6" s="25" t="s">
        <v>366</v>
      </c>
      <c r="AI6" s="6"/>
      <c r="AJ6" s="6"/>
      <c r="AK6" s="25"/>
      <c r="AL6" s="25" t="s">
        <v>365</v>
      </c>
      <c r="AM6" s="6"/>
      <c r="AN6" s="6"/>
      <c r="AO6" s="6"/>
      <c r="AP6" s="101">
        <f>AG6</f>
        <v>2.625</v>
      </c>
      <c r="AQ6" s="136">
        <v>2.73</v>
      </c>
    </row>
    <row r="7" spans="1:43" ht="84">
      <c r="A7" s="151">
        <v>5</v>
      </c>
      <c r="B7" s="112" t="s">
        <v>80</v>
      </c>
      <c r="C7" s="8" t="s">
        <v>370</v>
      </c>
      <c r="D7" s="8"/>
      <c r="E7" s="8"/>
      <c r="F7" s="8"/>
      <c r="G7" s="8"/>
      <c r="H7" s="133">
        <v>45405</v>
      </c>
      <c r="I7" s="56">
        <v>45476</v>
      </c>
      <c r="J7" s="56">
        <v>45505</v>
      </c>
      <c r="K7" s="56">
        <v>45506</v>
      </c>
      <c r="L7" s="40" t="s">
        <v>373</v>
      </c>
      <c r="M7" s="10">
        <v>45776</v>
      </c>
      <c r="N7" s="6"/>
      <c r="O7" s="6"/>
      <c r="P7" s="6"/>
      <c r="Q7" s="6"/>
      <c r="R7" s="6"/>
      <c r="S7" s="6"/>
      <c r="T7" s="6"/>
      <c r="U7" s="6"/>
      <c r="V7" s="6"/>
      <c r="W7" s="6"/>
      <c r="X7" s="6">
        <v>1</v>
      </c>
      <c r="Y7" s="10">
        <v>45776</v>
      </c>
      <c r="Z7" s="6">
        <v>1.3</v>
      </c>
      <c r="AA7" s="10">
        <v>45776</v>
      </c>
      <c r="AB7" s="10"/>
      <c r="AC7" s="6"/>
      <c r="AD7" s="6"/>
      <c r="AE7" s="6"/>
      <c r="AF7" s="6"/>
      <c r="AG7" s="101">
        <f t="shared" si="0"/>
        <v>1.625</v>
      </c>
      <c r="AH7" s="6"/>
      <c r="AI7" s="6"/>
      <c r="AJ7" s="25" t="s">
        <v>372</v>
      </c>
      <c r="AK7" s="25" t="s">
        <v>372</v>
      </c>
      <c r="AL7" s="25" t="s">
        <v>371</v>
      </c>
      <c r="AM7" s="6"/>
      <c r="AN7" s="6"/>
      <c r="AO7" s="6"/>
      <c r="AP7" s="101"/>
      <c r="AQ7" s="136"/>
    </row>
    <row r="8" spans="1:43" ht="28">
      <c r="A8" s="151">
        <v>6</v>
      </c>
      <c r="B8" s="112" t="s">
        <v>92</v>
      </c>
      <c r="C8" s="112">
        <v>600165</v>
      </c>
      <c r="D8" s="123"/>
      <c r="E8" s="123"/>
      <c r="F8" s="123"/>
      <c r="G8" s="8"/>
      <c r="H8" s="133">
        <v>45405</v>
      </c>
      <c r="I8" s="137">
        <v>45444</v>
      </c>
      <c r="J8" s="6"/>
      <c r="K8" s="137">
        <v>45457</v>
      </c>
      <c r="L8" s="58" t="s">
        <v>368</v>
      </c>
      <c r="M8" s="10">
        <v>45850</v>
      </c>
      <c r="N8" s="6"/>
      <c r="O8" s="6"/>
      <c r="P8" s="6"/>
      <c r="Q8" s="6"/>
      <c r="R8" s="6"/>
      <c r="S8" s="6"/>
      <c r="T8" s="6"/>
      <c r="U8" s="6"/>
      <c r="V8" s="6"/>
      <c r="W8" s="6"/>
      <c r="X8" s="6">
        <v>1.1200000000000001</v>
      </c>
      <c r="Y8" s="10">
        <v>45850</v>
      </c>
      <c r="Z8" s="6">
        <v>1.6</v>
      </c>
      <c r="AA8" s="10">
        <v>45850</v>
      </c>
      <c r="AB8" s="6"/>
      <c r="AC8" s="6"/>
      <c r="AD8" s="6"/>
      <c r="AE8" s="6"/>
      <c r="AF8" s="6"/>
      <c r="AG8" s="101">
        <f t="shared" si="0"/>
        <v>2</v>
      </c>
      <c r="AH8" s="6"/>
      <c r="AI8" s="6"/>
      <c r="AJ8" s="6"/>
      <c r="AK8" s="6"/>
      <c r="AL8" s="6" t="s">
        <v>367</v>
      </c>
      <c r="AM8" s="6"/>
      <c r="AN8" s="6"/>
      <c r="AO8" s="6"/>
      <c r="AP8" s="101"/>
      <c r="AQ8" s="136"/>
    </row>
    <row r="9" spans="1:43" ht="91.5" customHeight="1">
      <c r="A9" s="151">
        <v>7</v>
      </c>
      <c r="B9" s="112" t="s">
        <v>86</v>
      </c>
      <c r="C9" s="8" t="s">
        <v>311</v>
      </c>
      <c r="D9" s="39" t="s">
        <v>380</v>
      </c>
      <c r="E9" s="8" t="s">
        <v>375</v>
      </c>
      <c r="F9" s="8" t="s">
        <v>382</v>
      </c>
      <c r="G9" s="8" t="s">
        <v>428</v>
      </c>
      <c r="H9" s="133">
        <v>45420</v>
      </c>
      <c r="I9" s="56">
        <v>45437</v>
      </c>
      <c r="J9" s="56">
        <v>45461</v>
      </c>
      <c r="K9" s="56">
        <v>45478</v>
      </c>
      <c r="L9" s="56">
        <v>45574</v>
      </c>
      <c r="M9" s="56">
        <v>45588</v>
      </c>
      <c r="N9" s="6"/>
      <c r="O9" s="6"/>
      <c r="P9" s="10">
        <v>45657</v>
      </c>
      <c r="Q9" s="6"/>
      <c r="R9" s="6"/>
      <c r="S9" s="6"/>
      <c r="T9" s="56">
        <v>45681</v>
      </c>
      <c r="U9" s="6"/>
      <c r="V9" s="56">
        <v>45707</v>
      </c>
      <c r="W9" s="10">
        <v>45737</v>
      </c>
      <c r="X9" s="6">
        <v>1.3</v>
      </c>
      <c r="Y9" s="6"/>
      <c r="Z9" s="6">
        <v>2</v>
      </c>
      <c r="AA9" s="10">
        <v>45588</v>
      </c>
      <c r="AB9" s="10"/>
      <c r="AC9" s="10">
        <v>45744</v>
      </c>
      <c r="AD9" s="6"/>
      <c r="AE9" s="6"/>
      <c r="AF9" s="25" t="s">
        <v>386</v>
      </c>
      <c r="AG9" s="101">
        <f t="shared" si="0"/>
        <v>2.5</v>
      </c>
      <c r="AH9" s="6" t="s">
        <v>387</v>
      </c>
      <c r="AI9" s="6"/>
      <c r="AJ9" s="25" t="s">
        <v>385</v>
      </c>
      <c r="AK9" s="25"/>
      <c r="AL9" s="25" t="s">
        <v>384</v>
      </c>
      <c r="AM9" s="6"/>
      <c r="AN9" s="6"/>
      <c r="AO9" s="6"/>
      <c r="AP9" s="101">
        <f>AG9</f>
        <v>2.5</v>
      </c>
      <c r="AQ9" s="136">
        <v>5</v>
      </c>
    </row>
    <row r="10" spans="1:43" ht="56">
      <c r="A10" s="151">
        <v>8</v>
      </c>
      <c r="B10" s="124" t="s">
        <v>312</v>
      </c>
      <c r="C10" s="124">
        <v>300506</v>
      </c>
      <c r="D10" s="39" t="s">
        <v>391</v>
      </c>
      <c r="E10" s="8" t="s">
        <v>393</v>
      </c>
      <c r="F10" s="8" t="s">
        <v>392</v>
      </c>
      <c r="G10" s="8" t="s">
        <v>390</v>
      </c>
      <c r="H10" s="133">
        <v>45429</v>
      </c>
      <c r="I10" s="56">
        <v>45504</v>
      </c>
      <c r="J10" s="10">
        <v>45504</v>
      </c>
      <c r="K10" s="56">
        <v>45545</v>
      </c>
      <c r="L10" s="10">
        <v>45595</v>
      </c>
      <c r="M10" s="10">
        <v>45716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>
        <v>1.47</v>
      </c>
      <c r="Y10" s="6"/>
      <c r="Z10" s="6">
        <v>1.47</v>
      </c>
      <c r="AA10" s="10">
        <v>45716</v>
      </c>
      <c r="AB10" s="10"/>
      <c r="AC10" s="6"/>
      <c r="AD10" s="6"/>
      <c r="AE10" s="6"/>
      <c r="AF10" s="6"/>
      <c r="AG10" s="101">
        <f t="shared" si="0"/>
        <v>1.8374999999999999</v>
      </c>
      <c r="AH10" s="25" t="s">
        <v>395</v>
      </c>
      <c r="AI10" s="6"/>
      <c r="AJ10" s="25" t="s">
        <v>396</v>
      </c>
      <c r="AK10" s="25"/>
      <c r="AL10" s="25" t="s">
        <v>394</v>
      </c>
      <c r="AM10" s="6"/>
      <c r="AN10" s="6"/>
      <c r="AO10" s="6"/>
      <c r="AP10" s="101">
        <f>AG10</f>
        <v>1.8374999999999999</v>
      </c>
      <c r="AQ10" s="136">
        <v>3</v>
      </c>
    </row>
    <row r="11" spans="1:43" ht="56">
      <c r="A11" s="151">
        <v>9</v>
      </c>
      <c r="B11" s="112" t="s">
        <v>397</v>
      </c>
      <c r="C11" s="161" t="s">
        <v>398</v>
      </c>
      <c r="D11" s="39" t="s">
        <v>399</v>
      </c>
      <c r="E11" s="8" t="s">
        <v>393</v>
      </c>
      <c r="F11" s="8" t="s">
        <v>415</v>
      </c>
      <c r="G11" s="8" t="s">
        <v>403</v>
      </c>
      <c r="H11" s="78">
        <v>45437</v>
      </c>
      <c r="I11" s="56">
        <v>45505</v>
      </c>
      <c r="J11" s="56">
        <v>45505</v>
      </c>
      <c r="K11" s="10">
        <v>45629</v>
      </c>
      <c r="L11" s="58" t="s">
        <v>405</v>
      </c>
      <c r="M11" s="56">
        <v>45723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1.552</v>
      </c>
      <c r="Y11" s="6"/>
      <c r="Z11" s="6">
        <v>1.552</v>
      </c>
      <c r="AA11" s="10">
        <v>45723</v>
      </c>
      <c r="AB11" s="10" t="s">
        <v>407</v>
      </c>
      <c r="AC11" s="6"/>
      <c r="AD11" s="6"/>
      <c r="AE11" s="6"/>
      <c r="AF11" s="6"/>
      <c r="AG11" s="101">
        <f t="shared" si="0"/>
        <v>1.94</v>
      </c>
      <c r="AH11" s="25" t="s">
        <v>408</v>
      </c>
      <c r="AI11" s="6"/>
      <c r="AJ11" s="6"/>
      <c r="AK11" s="6"/>
      <c r="AL11" s="6"/>
      <c r="AM11" s="25" t="s">
        <v>410</v>
      </c>
      <c r="AN11" s="25"/>
      <c r="AO11" s="6"/>
      <c r="AP11" s="101">
        <f>AG11</f>
        <v>1.94</v>
      </c>
      <c r="AQ11" s="136"/>
    </row>
    <row r="12" spans="1:43" ht="28">
      <c r="A12" s="151">
        <v>10</v>
      </c>
      <c r="B12" s="124" t="s">
        <v>79</v>
      </c>
      <c r="C12" s="155">
        <v>300338</v>
      </c>
      <c r="D12" s="39" t="s">
        <v>413</v>
      </c>
      <c r="E12" s="8" t="s">
        <v>419</v>
      </c>
      <c r="F12" s="8" t="s">
        <v>414</v>
      </c>
      <c r="G12" s="8" t="s">
        <v>416</v>
      </c>
      <c r="H12" s="137">
        <v>45472</v>
      </c>
      <c r="I12" s="10">
        <v>45560</v>
      </c>
      <c r="J12" s="10">
        <v>45560</v>
      </c>
      <c r="K12" s="56">
        <v>45589</v>
      </c>
      <c r="L12" s="56">
        <v>45598</v>
      </c>
      <c r="M12" s="10">
        <v>45601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>
        <v>2.2999999999999998</v>
      </c>
      <c r="Y12" s="10">
        <v>45601</v>
      </c>
      <c r="Z12" s="6"/>
      <c r="AA12" s="6"/>
      <c r="AB12" s="6" t="s">
        <v>420</v>
      </c>
      <c r="AC12" s="6"/>
      <c r="AD12" s="6"/>
      <c r="AE12" s="6"/>
      <c r="AF12" s="6"/>
      <c r="AG12" s="101">
        <f>Z12*1.25</f>
        <v>0</v>
      </c>
      <c r="AH12" s="40" t="s">
        <v>417</v>
      </c>
      <c r="AI12" s="6"/>
      <c r="AJ12" s="25" t="s">
        <v>422</v>
      </c>
      <c r="AK12" s="6"/>
      <c r="AL12" s="25" t="s">
        <v>426</v>
      </c>
      <c r="AM12" s="25" t="s">
        <v>418</v>
      </c>
      <c r="AN12" s="25"/>
      <c r="AO12" s="6"/>
      <c r="AP12" s="101">
        <f>AG12</f>
        <v>0</v>
      </c>
      <c r="AQ12" s="136">
        <v>4</v>
      </c>
    </row>
    <row r="13" spans="1:43" ht="84">
      <c r="A13" s="151">
        <v>11</v>
      </c>
      <c r="B13" s="127" t="s">
        <v>84</v>
      </c>
      <c r="C13" s="155">
        <v>300093</v>
      </c>
      <c r="D13" s="39" t="s">
        <v>423</v>
      </c>
      <c r="E13" s="8" t="s">
        <v>427</v>
      </c>
      <c r="F13" s="8" t="s">
        <v>424</v>
      </c>
      <c r="G13" s="8" t="s">
        <v>425</v>
      </c>
      <c r="H13" s="133">
        <v>45481</v>
      </c>
      <c r="I13" s="133">
        <v>45481</v>
      </c>
      <c r="J13" s="133">
        <v>45481</v>
      </c>
      <c r="K13" s="133">
        <v>45482</v>
      </c>
      <c r="L13" s="10"/>
      <c r="M13" s="56">
        <v>45818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>
        <v>4.96</v>
      </c>
      <c r="Y13" s="10">
        <v>45818</v>
      </c>
      <c r="Z13" s="6">
        <v>6.5</v>
      </c>
      <c r="AA13" s="10">
        <v>45467</v>
      </c>
      <c r="AB13" s="6" t="s">
        <v>436</v>
      </c>
      <c r="AC13" s="6"/>
      <c r="AD13" s="6"/>
      <c r="AE13" s="6"/>
      <c r="AF13" s="6"/>
      <c r="AG13" s="101">
        <f t="shared" si="0"/>
        <v>8.125</v>
      </c>
      <c r="AH13" s="6"/>
      <c r="AI13" s="6"/>
      <c r="AJ13" s="25" t="s">
        <v>437</v>
      </c>
      <c r="AK13" s="6"/>
      <c r="AL13" s="25" t="s">
        <v>430</v>
      </c>
      <c r="AM13" s="25" t="s">
        <v>435</v>
      </c>
      <c r="AN13" s="25"/>
      <c r="AO13" s="6"/>
      <c r="AP13" s="101">
        <f>AG13</f>
        <v>8.125</v>
      </c>
      <c r="AQ13" s="136"/>
    </row>
    <row r="14" spans="1:43" ht="56">
      <c r="A14" s="128">
        <v>12</v>
      </c>
      <c r="B14" s="131" t="s">
        <v>314</v>
      </c>
      <c r="C14" s="159" t="s">
        <v>315</v>
      </c>
      <c r="D14" s="39" t="s">
        <v>440</v>
      </c>
      <c r="E14" s="8" t="s">
        <v>443</v>
      </c>
      <c r="F14" s="8" t="s">
        <v>438</v>
      </c>
      <c r="G14" s="8" t="s">
        <v>439</v>
      </c>
      <c r="H14" s="137">
        <v>45485</v>
      </c>
      <c r="I14" s="6"/>
      <c r="J14" s="6"/>
      <c r="K14" s="56">
        <v>45524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101">
        <f t="shared" si="0"/>
        <v>0</v>
      </c>
      <c r="AH14" s="25" t="s">
        <v>442</v>
      </c>
      <c r="AI14" s="6"/>
      <c r="AJ14" s="6"/>
      <c r="AK14" s="6"/>
      <c r="AL14" s="6"/>
      <c r="AM14" s="25" t="s">
        <v>441</v>
      </c>
      <c r="AN14" s="25"/>
      <c r="AO14" s="6"/>
      <c r="AP14" s="101"/>
      <c r="AQ14" s="136"/>
    </row>
    <row r="15" spans="1:43" ht="70">
      <c r="A15" s="112">
        <v>13</v>
      </c>
      <c r="B15" s="124" t="s">
        <v>313</v>
      </c>
      <c r="C15" s="155">
        <v>300125</v>
      </c>
      <c r="D15" s="39" t="s">
        <v>447</v>
      </c>
      <c r="E15" s="8" t="s">
        <v>448</v>
      </c>
      <c r="F15" s="8" t="s">
        <v>445</v>
      </c>
      <c r="G15" s="8" t="s">
        <v>446</v>
      </c>
      <c r="H15" s="137">
        <v>45504</v>
      </c>
      <c r="I15" s="137">
        <v>45504</v>
      </c>
      <c r="J15" s="137">
        <v>45504</v>
      </c>
      <c r="K15" s="56">
        <v>45558</v>
      </c>
      <c r="L15" s="56">
        <v>45625</v>
      </c>
      <c r="M15" s="56">
        <v>45744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v>3.1</v>
      </c>
      <c r="Y15" s="10">
        <v>45744</v>
      </c>
      <c r="Z15" s="6">
        <v>3.5</v>
      </c>
      <c r="AA15" s="10">
        <v>45744</v>
      </c>
      <c r="AB15" s="6" t="s">
        <v>451</v>
      </c>
      <c r="AC15" s="6"/>
      <c r="AD15" s="6"/>
      <c r="AE15" s="6"/>
      <c r="AF15" s="6"/>
      <c r="AG15" s="101">
        <f t="shared" si="0"/>
        <v>4.375</v>
      </c>
      <c r="AH15" s="25" t="s">
        <v>449</v>
      </c>
      <c r="AI15" s="6"/>
      <c r="AJ15" s="25" t="s">
        <v>456</v>
      </c>
      <c r="AK15" s="6"/>
      <c r="AL15" s="25" t="s">
        <v>455</v>
      </c>
      <c r="AM15" s="25" t="s">
        <v>450</v>
      </c>
      <c r="AN15" s="25" t="s">
        <v>454</v>
      </c>
      <c r="AO15" s="6"/>
      <c r="AP15" s="101"/>
      <c r="AQ15" s="136"/>
    </row>
    <row r="16" spans="1:43" ht="56">
      <c r="A16" s="172">
        <v>14</v>
      </c>
      <c r="B16" s="131" t="s">
        <v>316</v>
      </c>
      <c r="C16" s="159" t="s">
        <v>122</v>
      </c>
      <c r="D16" s="39"/>
      <c r="E16" s="8"/>
      <c r="F16" s="8"/>
      <c r="G16" s="8" t="s">
        <v>357</v>
      </c>
      <c r="H16" s="123" t="s">
        <v>358</v>
      </c>
      <c r="I16" s="137">
        <v>45583</v>
      </c>
      <c r="J16" s="137">
        <v>45583</v>
      </c>
      <c r="K16" s="137">
        <v>45594</v>
      </c>
      <c r="L16" s="56">
        <v>45664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101">
        <f t="shared" si="0"/>
        <v>0</v>
      </c>
      <c r="AH16" s="6"/>
      <c r="AI16" s="6"/>
      <c r="AJ16" s="6"/>
      <c r="AK16" s="6"/>
      <c r="AL16" s="25" t="s">
        <v>359</v>
      </c>
      <c r="AM16" s="6"/>
      <c r="AN16" s="6"/>
      <c r="AO16" s="6" t="s">
        <v>360</v>
      </c>
      <c r="AP16" s="101"/>
      <c r="AQ16" s="136"/>
    </row>
    <row r="17" spans="1:43" ht="42">
      <c r="A17" s="172">
        <v>15</v>
      </c>
      <c r="B17" s="131" t="s">
        <v>317</v>
      </c>
      <c r="C17" s="159" t="s">
        <v>318</v>
      </c>
      <c r="D17" s="160"/>
      <c r="E17" s="160"/>
      <c r="F17" s="160"/>
      <c r="G17" s="8"/>
      <c r="H17" s="133">
        <v>45583</v>
      </c>
      <c r="I17" s="56">
        <v>45584</v>
      </c>
      <c r="J17" s="56">
        <v>45603</v>
      </c>
      <c r="K17" s="137">
        <v>45626</v>
      </c>
      <c r="L17" s="56">
        <v>45660</v>
      </c>
      <c r="M17" s="56">
        <v>45735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2.2999999999999998</v>
      </c>
      <c r="Y17" s="10">
        <v>45735</v>
      </c>
      <c r="Z17" s="6">
        <v>3</v>
      </c>
      <c r="AA17" s="10">
        <v>45764</v>
      </c>
      <c r="AB17" s="10"/>
      <c r="AC17" s="6"/>
      <c r="AD17" s="6"/>
      <c r="AE17" s="6"/>
      <c r="AF17" s="6"/>
      <c r="AG17" s="101">
        <f t="shared" si="0"/>
        <v>3.75</v>
      </c>
      <c r="AH17" s="6"/>
      <c r="AI17" s="6"/>
      <c r="AJ17" s="6"/>
      <c r="AK17" s="6"/>
      <c r="AL17" s="25" t="s">
        <v>362</v>
      </c>
      <c r="AM17" s="6"/>
      <c r="AN17" s="6"/>
      <c r="AO17" s="6"/>
      <c r="AP17" s="101">
        <f>AG17</f>
        <v>3.75</v>
      </c>
      <c r="AQ17" s="136">
        <v>4.5</v>
      </c>
    </row>
    <row r="18" spans="1:43" ht="84">
      <c r="A18" s="172">
        <v>16</v>
      </c>
      <c r="B18" s="112" t="s">
        <v>100</v>
      </c>
      <c r="C18" s="8" t="s">
        <v>101</v>
      </c>
      <c r="D18" s="8"/>
      <c r="E18" s="8"/>
      <c r="F18" s="8"/>
      <c r="G18" s="8" t="s">
        <v>357</v>
      </c>
      <c r="H18" s="56">
        <v>45587</v>
      </c>
      <c r="I18" s="56">
        <v>45591</v>
      </c>
      <c r="J18" s="56">
        <v>45591</v>
      </c>
      <c r="K18" s="56">
        <v>45652</v>
      </c>
      <c r="L18" s="10"/>
      <c r="M18" s="56">
        <v>45784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130">
        <v>1.2209000000000001</v>
      </c>
      <c r="Y18" s="175">
        <v>45784</v>
      </c>
      <c r="Z18" s="147">
        <v>1.65</v>
      </c>
      <c r="AA18" s="6"/>
      <c r="AB18" s="6"/>
      <c r="AC18" s="6"/>
      <c r="AD18" s="6"/>
      <c r="AE18" s="6"/>
      <c r="AF18" s="6"/>
      <c r="AG18" s="101">
        <f t="shared" si="0"/>
        <v>2.0625</v>
      </c>
      <c r="AH18" s="40" t="s">
        <v>363</v>
      </c>
      <c r="AI18" s="6"/>
      <c r="AJ18" s="6"/>
      <c r="AK18" s="6"/>
      <c r="AL18" s="25" t="s">
        <v>364</v>
      </c>
      <c r="AM18" s="6"/>
      <c r="AN18" s="6"/>
      <c r="AO18" s="25"/>
      <c r="AP18" s="101"/>
      <c r="AQ18" s="136">
        <v>2.5499999999999998</v>
      </c>
    </row>
    <row r="19" spans="1:43" ht="98">
      <c r="A19" s="172">
        <v>17</v>
      </c>
      <c r="B19" s="112" t="s">
        <v>98</v>
      </c>
      <c r="C19" s="161" t="s">
        <v>99</v>
      </c>
      <c r="D19" s="8"/>
      <c r="E19" s="8"/>
      <c r="F19" s="8"/>
      <c r="G19" s="8"/>
      <c r="H19" s="165">
        <v>45615</v>
      </c>
      <c r="I19" s="10">
        <v>45630</v>
      </c>
      <c r="J19" s="10">
        <v>45632</v>
      </c>
      <c r="K19" s="10">
        <v>45640</v>
      </c>
      <c r="L19" s="56">
        <v>45665</v>
      </c>
      <c r="M19" s="25" t="s">
        <v>335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>
        <v>1.87</v>
      </c>
      <c r="Y19" s="10">
        <v>45771</v>
      </c>
      <c r="Z19" s="6">
        <v>2.4</v>
      </c>
      <c r="AA19" s="10">
        <v>45776</v>
      </c>
      <c r="AB19" s="10"/>
      <c r="AC19" s="6"/>
      <c r="AD19" s="6"/>
      <c r="AE19" s="6"/>
      <c r="AF19" s="6"/>
      <c r="AG19" s="101">
        <f t="shared" si="0"/>
        <v>3</v>
      </c>
      <c r="AH19" s="40" t="s">
        <v>338</v>
      </c>
      <c r="AI19" s="6"/>
      <c r="AJ19" s="6"/>
      <c r="AK19" s="6"/>
      <c r="AL19" s="25" t="s">
        <v>334</v>
      </c>
      <c r="AM19" s="6"/>
      <c r="AN19" s="6"/>
      <c r="AO19" s="6"/>
      <c r="AP19" s="101">
        <v>3</v>
      </c>
      <c r="AQ19" s="136"/>
    </row>
    <row r="20" spans="1:43" ht="56">
      <c r="A20" s="172">
        <v>18</v>
      </c>
      <c r="B20" s="131" t="s">
        <v>337</v>
      </c>
      <c r="C20" s="159" t="s">
        <v>319</v>
      </c>
      <c r="D20" s="160"/>
      <c r="E20" s="160"/>
      <c r="F20" s="160"/>
      <c r="G20" s="8"/>
      <c r="H20" s="168">
        <v>45661</v>
      </c>
      <c r="I20" s="169">
        <v>45815</v>
      </c>
      <c r="J20" s="10">
        <v>45815</v>
      </c>
      <c r="K20" s="56">
        <v>45829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01">
        <f t="shared" si="0"/>
        <v>0</v>
      </c>
      <c r="AH20" s="6"/>
      <c r="AI20" s="6"/>
      <c r="AJ20" s="6"/>
      <c r="AK20" s="6"/>
      <c r="AL20" s="25" t="s">
        <v>339</v>
      </c>
      <c r="AM20" s="6"/>
      <c r="AN20" s="6"/>
      <c r="AO20" s="6"/>
      <c r="AP20" s="101"/>
      <c r="AQ20" s="136"/>
    </row>
    <row r="21" spans="1:43" ht="42">
      <c r="A21" s="172">
        <v>19</v>
      </c>
      <c r="B21" s="124" t="s">
        <v>320</v>
      </c>
      <c r="C21" s="155">
        <v>300147</v>
      </c>
      <c r="D21" s="160"/>
      <c r="E21" s="160"/>
      <c r="F21" s="160"/>
      <c r="G21" s="8"/>
      <c r="H21" s="168">
        <v>45694</v>
      </c>
      <c r="I21" s="170">
        <v>45761</v>
      </c>
      <c r="J21" s="56">
        <v>45761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101">
        <f t="shared" si="0"/>
        <v>0</v>
      </c>
      <c r="AH21" s="25" t="s">
        <v>348</v>
      </c>
      <c r="AI21" s="6"/>
      <c r="AJ21" s="6"/>
      <c r="AK21" s="6"/>
      <c r="AL21" s="25" t="s">
        <v>349</v>
      </c>
      <c r="AM21" s="6"/>
      <c r="AN21" s="6"/>
      <c r="AO21" s="6"/>
      <c r="AP21" s="101"/>
      <c r="AQ21" s="136"/>
    </row>
    <row r="22" spans="1:43" ht="70">
      <c r="A22" s="172">
        <v>20</v>
      </c>
      <c r="B22" s="124" t="s">
        <v>321</v>
      </c>
      <c r="C22" s="155">
        <v>300198</v>
      </c>
      <c r="D22" s="160"/>
      <c r="E22" s="160"/>
      <c r="F22" s="160"/>
      <c r="G22" s="8"/>
      <c r="H22" s="168">
        <v>45734</v>
      </c>
      <c r="I22" s="166">
        <v>45735</v>
      </c>
      <c r="J22" s="137">
        <v>45735</v>
      </c>
      <c r="K22" s="10">
        <v>45741</v>
      </c>
      <c r="L22" s="10">
        <v>45769</v>
      </c>
      <c r="M22" s="10">
        <v>45821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146">
        <v>1.68</v>
      </c>
      <c r="AA22" s="6"/>
      <c r="AB22" s="6"/>
      <c r="AC22" s="6"/>
      <c r="AD22" s="6"/>
      <c r="AE22" s="6"/>
      <c r="AF22" s="6"/>
      <c r="AG22" s="101">
        <f t="shared" si="0"/>
        <v>2.1</v>
      </c>
      <c r="AH22" s="6"/>
      <c r="AI22" s="6"/>
      <c r="AJ22" s="6"/>
      <c r="AK22" s="6"/>
      <c r="AL22" s="25" t="s">
        <v>336</v>
      </c>
      <c r="AM22" s="6"/>
      <c r="AN22" s="6"/>
      <c r="AO22" s="25" t="s">
        <v>347</v>
      </c>
      <c r="AP22" s="101">
        <f>1.7*1.3</f>
        <v>2.21</v>
      </c>
      <c r="AQ22" s="136">
        <v>2.2999999999999998</v>
      </c>
    </row>
    <row r="23" spans="1:43">
      <c r="A23" s="173">
        <v>21</v>
      </c>
      <c r="B23" s="124" t="s">
        <v>322</v>
      </c>
      <c r="C23" s="155">
        <v>300091</v>
      </c>
      <c r="D23" s="160"/>
      <c r="E23" s="160"/>
      <c r="F23" s="160"/>
      <c r="G23" s="8"/>
      <c r="H23" s="171">
        <v>45747</v>
      </c>
      <c r="I23" s="10">
        <v>45386</v>
      </c>
      <c r="J23" s="10">
        <v>45386</v>
      </c>
      <c r="K23" s="56">
        <v>45389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101">
        <f t="shared" si="0"/>
        <v>0</v>
      </c>
      <c r="AH23" s="6"/>
      <c r="AI23" s="6"/>
      <c r="AJ23" s="6"/>
      <c r="AK23" s="6"/>
      <c r="AL23" s="6"/>
      <c r="AM23" s="6"/>
      <c r="AN23" s="6"/>
      <c r="AO23" s="6"/>
      <c r="AP23" s="101"/>
      <c r="AQ23" s="136"/>
    </row>
    <row r="24" spans="1:43" ht="42">
      <c r="A24" s="172">
        <v>22</v>
      </c>
      <c r="B24" s="132" t="s">
        <v>377</v>
      </c>
      <c r="C24" s="163" t="s">
        <v>323</v>
      </c>
      <c r="D24" s="167"/>
      <c r="E24" s="167"/>
      <c r="F24" s="167"/>
      <c r="G24" s="8"/>
      <c r="H24" s="168">
        <v>45771</v>
      </c>
      <c r="I24" s="10">
        <v>45813</v>
      </c>
      <c r="J24" s="10">
        <v>45813</v>
      </c>
      <c r="K24" s="137">
        <v>45822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101">
        <f t="shared" si="0"/>
        <v>0</v>
      </c>
      <c r="AH24" s="6"/>
      <c r="AI24" s="6"/>
      <c r="AJ24" s="6"/>
      <c r="AK24" s="6"/>
      <c r="AL24" s="25" t="s">
        <v>343</v>
      </c>
      <c r="AM24" s="6"/>
      <c r="AN24" s="6"/>
      <c r="AO24" s="6"/>
      <c r="AP24" s="101"/>
      <c r="AQ24" s="136"/>
    </row>
    <row r="25" spans="1:43" ht="70">
      <c r="A25" s="173">
        <v>23</v>
      </c>
      <c r="B25" s="124" t="s">
        <v>324</v>
      </c>
      <c r="C25" s="155">
        <v>300391</v>
      </c>
      <c r="D25" s="160"/>
      <c r="E25" s="160"/>
      <c r="F25" s="160"/>
      <c r="G25" s="8"/>
      <c r="H25" s="107">
        <v>45678</v>
      </c>
      <c r="I25" s="107">
        <v>45678</v>
      </c>
      <c r="J25" s="107">
        <v>45678</v>
      </c>
      <c r="K25" s="107">
        <v>45680</v>
      </c>
      <c r="L25" s="6"/>
      <c r="M25" s="10">
        <v>45785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>
        <v>2.42</v>
      </c>
      <c r="Y25" s="6"/>
      <c r="Z25" s="6">
        <v>2.42</v>
      </c>
      <c r="AA25" s="10">
        <v>45785</v>
      </c>
      <c r="AB25" s="10"/>
      <c r="AC25" s="6"/>
      <c r="AD25" s="6"/>
      <c r="AE25" s="6"/>
      <c r="AF25" s="6"/>
      <c r="AG25" s="101">
        <f t="shared" si="0"/>
        <v>3.0249999999999999</v>
      </c>
      <c r="AH25" s="6"/>
      <c r="AI25" s="6"/>
      <c r="AJ25" s="6"/>
      <c r="AK25" s="6"/>
      <c r="AL25" s="25" t="s">
        <v>333</v>
      </c>
      <c r="AM25" s="6"/>
      <c r="AN25" s="6"/>
      <c r="AO25" s="25" t="s">
        <v>330</v>
      </c>
      <c r="AP25" s="101">
        <f>Z25*1.25</f>
        <v>3.0249999999999999</v>
      </c>
      <c r="AQ25" s="136">
        <v>4</v>
      </c>
    </row>
    <row r="26" spans="1:43">
      <c r="A26" s="173">
        <v>24</v>
      </c>
      <c r="B26" s="127" t="s">
        <v>457</v>
      </c>
      <c r="C26" s="164">
        <v>300159</v>
      </c>
      <c r="D26" s="160"/>
      <c r="E26" s="160"/>
      <c r="F26" s="160"/>
      <c r="G26" s="8"/>
      <c r="H26" s="78">
        <v>45812</v>
      </c>
      <c r="I26" s="78">
        <v>45814</v>
      </c>
      <c r="J26" s="78">
        <v>45814</v>
      </c>
      <c r="K26" s="56">
        <v>46185</v>
      </c>
      <c r="L26" s="56">
        <v>45839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101">
        <f t="shared" si="0"/>
        <v>0</v>
      </c>
      <c r="AH26" s="6"/>
      <c r="AI26" s="6"/>
      <c r="AJ26" s="6"/>
      <c r="AK26" s="6"/>
      <c r="AL26" s="6"/>
      <c r="AM26" s="6"/>
      <c r="AN26" s="6"/>
      <c r="AO26" s="6"/>
      <c r="AP26" s="101"/>
      <c r="AQ26" s="136"/>
    </row>
    <row r="27" spans="1:43">
      <c r="A27" s="173">
        <v>26</v>
      </c>
      <c r="B27" s="156" t="s">
        <v>345</v>
      </c>
      <c r="C27" s="158" t="s">
        <v>346</v>
      </c>
      <c r="D27" s="160"/>
      <c r="E27" s="160" t="s">
        <v>464</v>
      </c>
      <c r="F27" s="160"/>
      <c r="G27" s="158"/>
      <c r="H27" s="156">
        <v>45706</v>
      </c>
      <c r="I27" s="156">
        <v>45827</v>
      </c>
      <c r="J27" s="156"/>
      <c r="K27" s="22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101">
        <f t="shared" si="0"/>
        <v>0</v>
      </c>
      <c r="AH27" s="6"/>
      <c r="AI27" s="6"/>
      <c r="AJ27" s="6"/>
      <c r="AK27" s="6"/>
      <c r="AL27" s="6"/>
      <c r="AM27" s="6"/>
      <c r="AN27" s="6"/>
      <c r="AO27" s="6"/>
      <c r="AP27" s="101"/>
      <c r="AQ27" s="136"/>
    </row>
    <row r="28" spans="1:43" ht="42">
      <c r="A28" s="173">
        <v>25</v>
      </c>
      <c r="B28" s="124" t="s">
        <v>344</v>
      </c>
      <c r="C28" s="155">
        <v>300044</v>
      </c>
      <c r="D28" s="160"/>
      <c r="E28" s="160" t="s">
        <v>464</v>
      </c>
      <c r="F28" s="160"/>
      <c r="G28" s="8"/>
      <c r="H28" s="156">
        <v>45735</v>
      </c>
      <c r="I28" s="166">
        <v>45861</v>
      </c>
      <c r="J28" s="166">
        <v>45861</v>
      </c>
      <c r="K28" s="22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101">
        <f t="shared" si="0"/>
        <v>0</v>
      </c>
      <c r="AH28" s="6"/>
      <c r="AI28" s="6"/>
      <c r="AJ28" s="6"/>
      <c r="AK28" s="6"/>
      <c r="AL28" s="25" t="s">
        <v>355</v>
      </c>
      <c r="AM28" s="6"/>
      <c r="AN28" s="6"/>
      <c r="AO28" s="6"/>
      <c r="AP28" s="101"/>
      <c r="AQ28" s="136"/>
    </row>
    <row r="29" spans="1:43">
      <c r="A29" s="173">
        <v>27</v>
      </c>
      <c r="B29" s="155" t="s">
        <v>378</v>
      </c>
      <c r="C29" s="155" t="s">
        <v>379</v>
      </c>
      <c r="D29" s="158" t="s">
        <v>400</v>
      </c>
      <c r="E29" s="158" t="s">
        <v>401</v>
      </c>
      <c r="F29" s="158" t="s">
        <v>433</v>
      </c>
      <c r="G29" s="158" t="s">
        <v>402</v>
      </c>
      <c r="H29" s="162">
        <v>45838</v>
      </c>
      <c r="I29" s="156">
        <v>45842</v>
      </c>
      <c r="J29" s="156">
        <v>45842</v>
      </c>
      <c r="K29" s="22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101">
        <f t="shared" si="0"/>
        <v>0</v>
      </c>
      <c r="AH29" s="6"/>
      <c r="AI29" s="6"/>
      <c r="AJ29" s="6"/>
      <c r="AK29" s="6"/>
      <c r="AL29" s="6"/>
      <c r="AM29" s="6"/>
      <c r="AN29" s="6"/>
      <c r="AO29" s="6"/>
      <c r="AP29" s="101"/>
      <c r="AQ29" s="136"/>
    </row>
    <row r="30" spans="1:43">
      <c r="A30" s="173">
        <v>28</v>
      </c>
      <c r="B30" s="124" t="s">
        <v>429</v>
      </c>
      <c r="C30" s="124">
        <v>603377</v>
      </c>
      <c r="D30" s="158" t="s">
        <v>434</v>
      </c>
      <c r="E30" s="158" t="s">
        <v>431</v>
      </c>
      <c r="F30" s="158" t="s">
        <v>432</v>
      </c>
      <c r="G30" s="158" t="s">
        <v>402</v>
      </c>
      <c r="H30" s="156">
        <v>45847</v>
      </c>
      <c r="I30" s="156">
        <v>45849</v>
      </c>
      <c r="J30" s="156">
        <v>45849</v>
      </c>
      <c r="K30" s="156">
        <v>45850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101">
        <f t="shared" si="0"/>
        <v>0</v>
      </c>
      <c r="AH30" s="6"/>
      <c r="AI30" s="6"/>
      <c r="AJ30" s="6"/>
      <c r="AK30" s="6"/>
      <c r="AL30" s="6"/>
      <c r="AM30" s="6"/>
      <c r="AN30" s="6"/>
      <c r="AO30" s="6"/>
      <c r="AP30" s="101"/>
      <c r="AQ30" s="136"/>
    </row>
    <row r="31" spans="1:43" ht="42">
      <c r="A31" s="173">
        <v>29</v>
      </c>
      <c r="B31" s="124" t="s">
        <v>458</v>
      </c>
      <c r="C31" s="124" t="s">
        <v>459</v>
      </c>
      <c r="D31" s="174" t="s">
        <v>460</v>
      </c>
      <c r="E31" s="158" t="s">
        <v>461</v>
      </c>
      <c r="F31" s="158" t="s">
        <v>462</v>
      </c>
      <c r="G31" s="158" t="s">
        <v>463</v>
      </c>
      <c r="H31" s="156">
        <v>45850</v>
      </c>
      <c r="I31" s="156">
        <v>45850</v>
      </c>
      <c r="J31" s="156">
        <v>45850</v>
      </c>
      <c r="K31" s="22"/>
      <c r="L31" s="6"/>
      <c r="M31" s="6"/>
      <c r="N31" s="6"/>
      <c r="O31" s="6"/>
      <c r="P31" s="6"/>
      <c r="Q31" s="6"/>
      <c r="R31" s="6"/>
      <c r="S31" s="6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3"/>
      <c r="AQ31" s="154"/>
    </row>
    <row r="32" spans="1:43">
      <c r="A32" s="173">
        <v>30</v>
      </c>
      <c r="B32" s="156" t="s">
        <v>369</v>
      </c>
      <c r="C32" s="158"/>
      <c r="D32" s="158"/>
      <c r="E32" s="158"/>
      <c r="F32" s="158"/>
      <c r="G32" s="158"/>
      <c r="H32" s="156"/>
      <c r="I32" s="156"/>
      <c r="J32" s="156"/>
      <c r="K32" s="22"/>
      <c r="L32" s="6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3"/>
      <c r="AQ32" s="154"/>
    </row>
    <row r="33" spans="1:10">
      <c r="A33" s="189" t="s">
        <v>329</v>
      </c>
      <c r="B33" s="190"/>
      <c r="C33" s="190"/>
      <c r="D33" s="190"/>
      <c r="E33" s="190"/>
      <c r="F33" s="190"/>
      <c r="G33" s="190"/>
      <c r="H33" s="190"/>
    </row>
    <row r="35" spans="1:10">
      <c r="A35" s="217" t="s">
        <v>353</v>
      </c>
      <c r="B35" s="217"/>
      <c r="C35" s="217"/>
      <c r="D35" s="157"/>
      <c r="E35" s="157"/>
      <c r="F35" s="157"/>
      <c r="G35" s="157"/>
    </row>
    <row r="36" spans="1:10">
      <c r="A36" s="217" t="s">
        <v>352</v>
      </c>
      <c r="B36" s="217"/>
      <c r="C36" s="217"/>
      <c r="D36" s="217"/>
      <c r="E36" s="217"/>
      <c r="F36" s="217"/>
      <c r="G36" s="217"/>
      <c r="H36" s="217"/>
      <c r="I36" s="217"/>
    </row>
    <row r="37" spans="1:10">
      <c r="A37" s="217" t="s">
        <v>404</v>
      </c>
      <c r="B37" s="217"/>
      <c r="C37" s="217"/>
      <c r="D37" s="217"/>
      <c r="E37" s="217"/>
      <c r="F37" s="217"/>
      <c r="G37" s="217"/>
      <c r="H37" s="217"/>
    </row>
    <row r="41" spans="1:10">
      <c r="A41" s="215" t="s">
        <v>350</v>
      </c>
      <c r="B41" s="215"/>
      <c r="C41" s="215"/>
      <c r="D41" s="215"/>
      <c r="E41" s="215"/>
      <c r="F41" s="215"/>
      <c r="G41" s="215"/>
      <c r="H41" s="215"/>
    </row>
    <row r="43" spans="1:10">
      <c r="B43" s="9">
        <v>6.19</v>
      </c>
      <c r="C43" s="216" t="s">
        <v>351</v>
      </c>
      <c r="D43" s="216"/>
      <c r="E43" s="216"/>
      <c r="F43" s="216"/>
      <c r="G43" s="216"/>
      <c r="H43" s="216"/>
      <c r="I43" s="216"/>
      <c r="J43" s="216"/>
    </row>
  </sheetData>
  <mergeCells count="33">
    <mergeCell ref="A41:H41"/>
    <mergeCell ref="C43:J43"/>
    <mergeCell ref="A36:I36"/>
    <mergeCell ref="G1:G2"/>
    <mergeCell ref="D1:D2"/>
    <mergeCell ref="E1:E2"/>
    <mergeCell ref="F1:F2"/>
    <mergeCell ref="A37:H37"/>
    <mergeCell ref="A35:C35"/>
    <mergeCell ref="A1:A2"/>
    <mergeCell ref="B1:B2"/>
    <mergeCell ref="C1:C2"/>
    <mergeCell ref="Z1:AA2"/>
    <mergeCell ref="AC1:AC2"/>
    <mergeCell ref="AD1:AD2"/>
    <mergeCell ref="AE1:AE2"/>
    <mergeCell ref="AF1:AF2"/>
    <mergeCell ref="P1:V1"/>
    <mergeCell ref="W1:W2"/>
    <mergeCell ref="AP1:AP2"/>
    <mergeCell ref="AQ1:AQ2"/>
    <mergeCell ref="A33:H33"/>
    <mergeCell ref="AH1:AH2"/>
    <mergeCell ref="H1:O1"/>
    <mergeCell ref="AL1:AL2"/>
    <mergeCell ref="AM1:AM2"/>
    <mergeCell ref="AO1:AO2"/>
    <mergeCell ref="AB1:AB2"/>
    <mergeCell ref="AJ1:AK1"/>
    <mergeCell ref="X1:Y2"/>
    <mergeCell ref="AN1:AN2"/>
    <mergeCell ref="AG1:AG2"/>
    <mergeCell ref="AI1:AI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F4" sqref="F4"/>
    </sheetView>
  </sheetViews>
  <sheetFormatPr defaultRowHeight="14"/>
  <cols>
    <col min="2" max="2" width="9.33203125" customWidth="1"/>
    <col min="3" max="4" width="9.6640625" customWidth="1"/>
    <col min="5" max="5" width="9.58203125" bestFit="1" customWidth="1"/>
  </cols>
  <sheetData>
    <row r="1" spans="1:7" ht="35.5" customHeight="1">
      <c r="A1" t="s">
        <v>468</v>
      </c>
      <c r="B1" s="26" t="s">
        <v>469</v>
      </c>
      <c r="C1" s="26" t="s">
        <v>471</v>
      </c>
      <c r="D1" s="26" t="s">
        <v>472</v>
      </c>
      <c r="E1" s="26" t="s">
        <v>470</v>
      </c>
    </row>
    <row r="2" spans="1:7">
      <c r="A2">
        <v>2.4</v>
      </c>
      <c r="B2">
        <f>A2*1.5</f>
        <v>3.5999999999999996</v>
      </c>
      <c r="C2">
        <f>(B2-A2)*30%</f>
        <v>0.35999999999999993</v>
      </c>
      <c r="D2">
        <f>(B2-A2-C2)/A2</f>
        <v>0.35</v>
      </c>
    </row>
    <row r="13" spans="1:7">
      <c r="G13" s="2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workbookViewId="0">
      <selection activeCell="D21" sqref="D21"/>
    </sheetView>
  </sheetViews>
  <sheetFormatPr defaultRowHeight="14"/>
  <cols>
    <col min="1" max="1" width="9" style="9"/>
    <col min="2" max="2" width="8.5" bestFit="1" customWidth="1"/>
    <col min="3" max="3" width="7.08203125" bestFit="1" customWidth="1"/>
    <col min="4" max="5" width="11.08203125" bestFit="1" customWidth="1"/>
    <col min="6" max="6" width="11.08203125" customWidth="1"/>
    <col min="7" max="7" width="12.33203125" bestFit="1" customWidth="1"/>
    <col min="8" max="8" width="10.08203125" customWidth="1"/>
    <col min="9" max="10" width="12.33203125" bestFit="1" customWidth="1"/>
    <col min="11" max="11" width="16.25" bestFit="1" customWidth="1"/>
    <col min="12" max="13" width="9.08203125" bestFit="1" customWidth="1"/>
    <col min="14" max="14" width="8.5" bestFit="1" customWidth="1"/>
    <col min="15" max="15" width="8.5" customWidth="1"/>
    <col min="16" max="16" width="15.58203125" customWidth="1"/>
    <col min="17" max="17" width="25.5" customWidth="1"/>
  </cols>
  <sheetData>
    <row r="1" spans="1:20" ht="28">
      <c r="A1" s="106" t="s">
        <v>282</v>
      </c>
      <c r="B1" s="6" t="s">
        <v>25</v>
      </c>
      <c r="C1" s="7" t="s">
        <v>15</v>
      </c>
      <c r="D1" s="6" t="s">
        <v>26</v>
      </c>
      <c r="E1" s="6" t="s">
        <v>27</v>
      </c>
      <c r="F1" s="31" t="s">
        <v>136</v>
      </c>
      <c r="G1" s="6" t="s">
        <v>28</v>
      </c>
      <c r="H1" s="6" t="s">
        <v>118</v>
      </c>
      <c r="I1" s="6" t="s">
        <v>29</v>
      </c>
      <c r="J1" s="6" t="s">
        <v>30</v>
      </c>
      <c r="K1" s="6" t="s">
        <v>31</v>
      </c>
      <c r="L1" s="15" t="s">
        <v>47</v>
      </c>
      <c r="M1" s="15" t="s">
        <v>48</v>
      </c>
      <c r="N1" s="24" t="s">
        <v>71</v>
      </c>
      <c r="O1" s="24" t="s">
        <v>124</v>
      </c>
      <c r="P1" s="24" t="s">
        <v>119</v>
      </c>
      <c r="Q1" s="24" t="s">
        <v>119</v>
      </c>
    </row>
    <row r="2" spans="1:20">
      <c r="A2" s="106">
        <v>1</v>
      </c>
      <c r="B2" s="6" t="s">
        <v>76</v>
      </c>
      <c r="C2" s="27" t="s">
        <v>85</v>
      </c>
      <c r="D2" s="10">
        <v>45139</v>
      </c>
      <c r="E2" s="7" t="s">
        <v>49</v>
      </c>
      <c r="F2" s="7"/>
      <c r="G2" s="10">
        <v>45404</v>
      </c>
      <c r="H2" s="10"/>
      <c r="I2" s="10">
        <v>45680</v>
      </c>
      <c r="J2" s="6"/>
      <c r="K2" s="6"/>
      <c r="L2" s="6">
        <v>0.63</v>
      </c>
      <c r="M2" s="6">
        <v>1.04</v>
      </c>
      <c r="N2" s="6"/>
      <c r="O2" s="6"/>
      <c r="P2" s="6"/>
      <c r="Q2" s="6"/>
    </row>
    <row r="3" spans="1:20" ht="28">
      <c r="A3" s="106">
        <v>2</v>
      </c>
      <c r="B3" s="6" t="s">
        <v>86</v>
      </c>
      <c r="C3" s="27" t="s">
        <v>311</v>
      </c>
      <c r="D3" s="10">
        <v>45419</v>
      </c>
      <c r="E3" s="10">
        <v>45436</v>
      </c>
      <c r="F3" s="10"/>
      <c r="G3" s="10">
        <v>45656</v>
      </c>
      <c r="H3" s="10">
        <v>45681</v>
      </c>
      <c r="I3" s="10">
        <v>45681</v>
      </c>
      <c r="J3" s="6"/>
      <c r="K3" s="6"/>
      <c r="L3" s="6">
        <v>1.3</v>
      </c>
      <c r="M3" s="6">
        <v>2</v>
      </c>
      <c r="N3" s="6"/>
      <c r="O3" s="6"/>
      <c r="P3" s="6"/>
      <c r="Q3" s="25" t="s">
        <v>120</v>
      </c>
    </row>
    <row r="4" spans="1:20" ht="28">
      <c r="A4" s="106">
        <v>3</v>
      </c>
      <c r="B4" s="95" t="s">
        <v>87</v>
      </c>
      <c r="C4" s="6">
        <v>300391</v>
      </c>
      <c r="D4" s="10">
        <v>45677</v>
      </c>
      <c r="E4" s="10">
        <v>45677</v>
      </c>
      <c r="F4" s="10"/>
      <c r="G4" s="6"/>
      <c r="H4" s="6"/>
      <c r="I4" s="6"/>
      <c r="J4" s="6"/>
      <c r="K4" s="6"/>
      <c r="L4" s="6">
        <v>1.22</v>
      </c>
      <c r="M4" s="6"/>
      <c r="N4" s="6"/>
      <c r="O4" s="6"/>
      <c r="P4" s="25" t="s">
        <v>125</v>
      </c>
      <c r="Q4" s="6" t="s">
        <v>121</v>
      </c>
    </row>
    <row r="5" spans="1:20">
      <c r="A5" s="106">
        <v>4</v>
      </c>
      <c r="B5" s="6" t="s">
        <v>77</v>
      </c>
      <c r="C5" s="27" t="s">
        <v>88</v>
      </c>
      <c r="D5" s="10">
        <v>45660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20">
      <c r="A6" s="106">
        <v>5</v>
      </c>
      <c r="B6" s="6" t="s">
        <v>78</v>
      </c>
      <c r="C6" s="27" t="s">
        <v>89</v>
      </c>
      <c r="D6" s="10">
        <v>45104</v>
      </c>
      <c r="E6" s="6"/>
      <c r="F6" s="6"/>
      <c r="G6" s="6"/>
      <c r="H6" s="6"/>
      <c r="I6" s="10">
        <v>45667</v>
      </c>
      <c r="J6" s="6"/>
      <c r="K6" s="6"/>
      <c r="L6" s="6">
        <v>1.53</v>
      </c>
      <c r="M6" s="6">
        <v>2</v>
      </c>
      <c r="N6" s="6"/>
      <c r="O6" s="6"/>
      <c r="P6" s="6"/>
      <c r="Q6" s="6"/>
    </row>
    <row r="7" spans="1:20">
      <c r="A7" s="106">
        <v>6</v>
      </c>
      <c r="B7" s="95" t="s">
        <v>79</v>
      </c>
      <c r="C7" s="6">
        <v>300338</v>
      </c>
      <c r="D7" s="10">
        <v>45471</v>
      </c>
      <c r="E7" s="10">
        <v>45558</v>
      </c>
      <c r="F7" s="10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20">
      <c r="A8" s="106">
        <v>7</v>
      </c>
      <c r="B8" s="6" t="s">
        <v>80</v>
      </c>
      <c r="C8" s="27" t="s">
        <v>90</v>
      </c>
      <c r="D8" s="10">
        <v>45404</v>
      </c>
      <c r="E8" s="10">
        <v>45475</v>
      </c>
      <c r="F8" s="10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A9" s="106">
        <v>8</v>
      </c>
      <c r="B9" s="28" t="s">
        <v>91</v>
      </c>
      <c r="C9" s="28">
        <v>300108</v>
      </c>
      <c r="D9" s="29">
        <v>45108</v>
      </c>
      <c r="E9" s="29">
        <v>45257</v>
      </c>
      <c r="F9" s="29"/>
      <c r="G9" s="28" t="s">
        <v>123</v>
      </c>
      <c r="H9" s="28"/>
      <c r="I9" s="28"/>
      <c r="J9" s="6"/>
      <c r="K9" s="6"/>
      <c r="L9" s="6"/>
      <c r="M9" s="6"/>
      <c r="N9" s="6"/>
      <c r="O9" s="6"/>
      <c r="P9" s="6"/>
      <c r="Q9" s="6"/>
    </row>
    <row r="10" spans="1:20">
      <c r="A10" s="106">
        <v>9</v>
      </c>
      <c r="B10" s="6" t="s">
        <v>92</v>
      </c>
      <c r="C10" s="6">
        <v>600165</v>
      </c>
      <c r="D10" s="10">
        <v>45404</v>
      </c>
      <c r="E10" s="10">
        <v>45442</v>
      </c>
      <c r="F10" s="1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20">
      <c r="A11" s="106">
        <v>10</v>
      </c>
      <c r="B11" s="95" t="s">
        <v>93</v>
      </c>
      <c r="C11" s="6">
        <v>300506</v>
      </c>
      <c r="D11" s="10">
        <v>45429</v>
      </c>
      <c r="E11" s="10">
        <v>45502</v>
      </c>
      <c r="F11" s="1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20">
      <c r="A12" s="106">
        <v>11</v>
      </c>
      <c r="B12" s="6" t="s">
        <v>81</v>
      </c>
      <c r="C12" s="6">
        <v>600804</v>
      </c>
      <c r="D12" s="10">
        <v>45601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20">
      <c r="A13" s="106">
        <v>12</v>
      </c>
      <c r="B13" s="28" t="s">
        <v>94</v>
      </c>
      <c r="C13" s="28">
        <v>300117</v>
      </c>
      <c r="D13" s="29">
        <v>45446</v>
      </c>
      <c r="E13" s="28" t="s">
        <v>95</v>
      </c>
      <c r="F13" s="28"/>
      <c r="G13" s="28"/>
      <c r="H13" s="28"/>
      <c r="I13" s="28"/>
      <c r="J13" s="6"/>
      <c r="K13" s="6"/>
      <c r="L13" s="6"/>
      <c r="M13" s="6"/>
      <c r="N13" s="6"/>
      <c r="O13" s="6"/>
      <c r="P13" s="6"/>
      <c r="Q13" s="6"/>
    </row>
    <row r="14" spans="1:20">
      <c r="A14" s="106">
        <v>13</v>
      </c>
      <c r="B14" s="28" t="s">
        <v>96</v>
      </c>
      <c r="C14" s="30" t="s">
        <v>97</v>
      </c>
      <c r="D14" s="29">
        <v>45439</v>
      </c>
      <c r="E14" s="28" t="s">
        <v>82</v>
      </c>
      <c r="F14" s="28"/>
      <c r="G14" s="28"/>
      <c r="H14" s="28"/>
      <c r="I14" s="28"/>
      <c r="J14" s="6"/>
      <c r="K14" s="6"/>
      <c r="L14" s="6"/>
      <c r="M14" s="6"/>
      <c r="N14" s="6"/>
      <c r="O14" s="6"/>
      <c r="P14" s="6"/>
      <c r="Q14" s="6"/>
    </row>
    <row r="15" spans="1:20" ht="28">
      <c r="A15" s="106">
        <v>14</v>
      </c>
      <c r="B15" s="6" t="s">
        <v>98</v>
      </c>
      <c r="C15" s="27" t="s">
        <v>99</v>
      </c>
      <c r="D15" s="10">
        <v>45614</v>
      </c>
      <c r="E15" s="10">
        <v>45629</v>
      </c>
      <c r="F15" s="10"/>
      <c r="G15" s="6"/>
      <c r="H15" s="6"/>
      <c r="I15" s="6"/>
      <c r="J15" s="6"/>
      <c r="K15" s="6"/>
      <c r="L15" s="6"/>
      <c r="M15" s="6">
        <v>2.4</v>
      </c>
      <c r="N15" s="6"/>
      <c r="O15" s="6"/>
      <c r="P15" s="25" t="s">
        <v>126</v>
      </c>
      <c r="Q15" s="6"/>
      <c r="R15">
        <v>1.87</v>
      </c>
      <c r="S15">
        <v>2.4</v>
      </c>
      <c r="T15">
        <f>S15*1.2</f>
        <v>2.88</v>
      </c>
    </row>
    <row r="16" spans="1:20" ht="28">
      <c r="A16" s="106">
        <v>15</v>
      </c>
      <c r="B16" s="6" t="s">
        <v>100</v>
      </c>
      <c r="C16" s="27" t="s">
        <v>101</v>
      </c>
      <c r="D16" s="10">
        <v>45587</v>
      </c>
      <c r="E16" s="10">
        <v>45590</v>
      </c>
      <c r="F16" s="10"/>
      <c r="G16" s="6"/>
      <c r="H16" s="6"/>
      <c r="I16" s="6"/>
      <c r="J16" s="6"/>
      <c r="K16" s="6"/>
      <c r="L16" s="6"/>
      <c r="M16" s="6"/>
      <c r="N16" s="6"/>
      <c r="O16" s="6"/>
      <c r="P16" s="25" t="s">
        <v>128</v>
      </c>
      <c r="Q16" s="6"/>
      <c r="T16">
        <v>2.1</v>
      </c>
    </row>
    <row r="17" spans="1:17" ht="28">
      <c r="A17" s="106">
        <v>16</v>
      </c>
      <c r="B17" s="6" t="s">
        <v>137</v>
      </c>
      <c r="C17" s="27" t="s">
        <v>102</v>
      </c>
      <c r="D17" s="10">
        <v>45582</v>
      </c>
      <c r="E17" s="10">
        <v>45583</v>
      </c>
      <c r="F17" s="10"/>
      <c r="G17" s="6"/>
      <c r="H17" s="6"/>
      <c r="I17" s="6"/>
      <c r="J17" s="6"/>
      <c r="K17" s="6"/>
      <c r="L17" s="6"/>
      <c r="M17" s="6"/>
      <c r="N17" s="6"/>
      <c r="O17" s="6"/>
      <c r="P17" s="25" t="s">
        <v>129</v>
      </c>
      <c r="Q17" s="6"/>
    </row>
    <row r="18" spans="1:17" ht="28">
      <c r="A18" s="106">
        <v>17</v>
      </c>
      <c r="B18" s="6" t="s">
        <v>103</v>
      </c>
      <c r="C18" s="27" t="s">
        <v>122</v>
      </c>
      <c r="D18" s="10">
        <v>45581</v>
      </c>
      <c r="E18" s="10">
        <v>45581</v>
      </c>
      <c r="F18" s="10"/>
      <c r="G18" s="6"/>
      <c r="H18" s="6"/>
      <c r="I18" s="6"/>
      <c r="J18" s="6"/>
      <c r="K18" s="6"/>
      <c r="L18" s="6"/>
      <c r="M18" s="6"/>
      <c r="N18" s="6"/>
      <c r="O18" s="6"/>
      <c r="P18" s="25" t="s">
        <v>127</v>
      </c>
      <c r="Q18" s="6"/>
    </row>
    <row r="19" spans="1:17">
      <c r="A19" s="106">
        <v>18</v>
      </c>
      <c r="B19" s="6" t="s">
        <v>104</v>
      </c>
      <c r="C19" s="27" t="s">
        <v>105</v>
      </c>
      <c r="D19" s="10">
        <v>45369</v>
      </c>
      <c r="E19" s="10">
        <v>45513</v>
      </c>
      <c r="F19" s="10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>
      <c r="A20" s="106">
        <v>19</v>
      </c>
      <c r="B20" s="95" t="s">
        <v>106</v>
      </c>
      <c r="C20" s="6">
        <v>300125</v>
      </c>
      <c r="D20" s="10">
        <v>45504</v>
      </c>
      <c r="E20" s="10">
        <v>45504</v>
      </c>
      <c r="F20" s="10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>
      <c r="A21" s="106">
        <v>20</v>
      </c>
      <c r="B21" s="6" t="s">
        <v>83</v>
      </c>
      <c r="C21" s="27" t="s">
        <v>107</v>
      </c>
      <c r="D21" s="10">
        <v>45436</v>
      </c>
      <c r="E21" s="10">
        <v>45504</v>
      </c>
      <c r="F21" s="10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>
      <c r="A22" s="106">
        <v>21</v>
      </c>
      <c r="B22" s="6" t="s">
        <v>108</v>
      </c>
      <c r="C22" s="6">
        <v>600811</v>
      </c>
      <c r="D22" s="10">
        <v>45468</v>
      </c>
      <c r="E22" s="10">
        <v>45488</v>
      </c>
      <c r="F22" s="10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>
      <c r="A23" s="106">
        <v>22</v>
      </c>
      <c r="B23" s="95" t="s">
        <v>84</v>
      </c>
      <c r="C23" s="6">
        <v>300093</v>
      </c>
      <c r="D23" s="10">
        <v>45481</v>
      </c>
      <c r="E23" s="10">
        <v>45481</v>
      </c>
      <c r="F23" s="10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>
      <c r="A24" s="106">
        <v>23</v>
      </c>
      <c r="B24" s="6" t="s">
        <v>109</v>
      </c>
      <c r="C24" s="27" t="s">
        <v>110</v>
      </c>
      <c r="D24" s="10">
        <v>45547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>
      <c r="A25" s="106">
        <v>24</v>
      </c>
      <c r="B25" s="6" t="s">
        <v>111</v>
      </c>
      <c r="C25" s="27" t="s">
        <v>112</v>
      </c>
      <c r="D25" s="10">
        <v>45484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>
      <c r="A26" s="106">
        <v>25</v>
      </c>
      <c r="B26" s="6" t="s">
        <v>113</v>
      </c>
      <c r="C26" s="27" t="s">
        <v>114</v>
      </c>
      <c r="D26" s="10">
        <v>45062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7"/>
  <sheetViews>
    <sheetView tabSelected="1" topLeftCell="A7" zoomScaleNormal="100" workbookViewId="0">
      <pane xSplit="2" topLeftCell="H1" activePane="topRight" state="frozen"/>
      <selection activeCell="B1" sqref="B1"/>
      <selection pane="topRight" activeCell="L10" sqref="L10"/>
    </sheetView>
  </sheetViews>
  <sheetFormatPr defaultRowHeight="14"/>
  <cols>
    <col min="1" max="1" width="8.6640625" style="9" customWidth="1"/>
    <col min="3" max="3" width="9" customWidth="1"/>
    <col min="4" max="4" width="13.58203125" style="9" customWidth="1"/>
    <col min="5" max="5" width="13.08203125" style="9" customWidth="1"/>
    <col min="6" max="6" width="11.08203125" customWidth="1"/>
    <col min="7" max="8" width="11.58203125" customWidth="1"/>
    <col min="9" max="11" width="12.33203125" customWidth="1"/>
    <col min="12" max="12" width="12.25" style="9" customWidth="1"/>
    <col min="13" max="14" width="10.83203125" customWidth="1"/>
    <col min="15" max="18" width="11.58203125" customWidth="1"/>
    <col min="19" max="19" width="13.83203125" customWidth="1"/>
    <col min="20" max="20" width="10.25" style="9" customWidth="1"/>
    <col min="21" max="21" width="9.58203125" customWidth="1"/>
    <col min="22" max="23" width="13.83203125" customWidth="1"/>
    <col min="24" max="24" width="17.75" style="9" customWidth="1"/>
    <col min="25" max="26" width="11.58203125" customWidth="1"/>
    <col min="27" max="27" width="13.33203125" customWidth="1"/>
    <col min="28" max="28" width="11.58203125" customWidth="1"/>
    <col min="29" max="30" width="39.83203125" customWidth="1"/>
    <col min="31" max="31" width="40.6640625" customWidth="1"/>
    <col min="32" max="33" width="43.08203125" customWidth="1"/>
    <col min="34" max="34" width="26.5" customWidth="1"/>
    <col min="35" max="35" width="31" customWidth="1"/>
    <col min="36" max="36" width="11.58203125" customWidth="1"/>
    <col min="37" max="37" width="9" style="9"/>
  </cols>
  <sheetData>
    <row r="1" spans="1:37" ht="27.75" customHeight="1">
      <c r="A1" s="226" t="s">
        <v>24</v>
      </c>
      <c r="B1" s="198" t="s">
        <v>139</v>
      </c>
      <c r="C1" s="183" t="s">
        <v>140</v>
      </c>
      <c r="D1" s="105"/>
      <c r="E1" s="183" t="s">
        <v>141</v>
      </c>
      <c r="F1" s="183"/>
      <c r="G1" s="183"/>
      <c r="H1" s="183"/>
      <c r="I1" s="183"/>
      <c r="J1" s="183"/>
      <c r="K1" s="183"/>
      <c r="L1" s="183" t="s">
        <v>142</v>
      </c>
      <c r="M1" s="183"/>
      <c r="N1" s="183"/>
      <c r="O1" s="183"/>
      <c r="P1" s="183"/>
      <c r="Q1" s="183"/>
      <c r="R1" s="183"/>
      <c r="S1" s="183" t="s">
        <v>143</v>
      </c>
      <c r="T1" s="183" t="s">
        <v>144</v>
      </c>
      <c r="U1" s="231" t="s">
        <v>161</v>
      </c>
      <c r="V1" s="232"/>
      <c r="W1" s="184" t="s">
        <v>326</v>
      </c>
      <c r="X1" s="183" t="s">
        <v>138</v>
      </c>
      <c r="Y1" s="198" t="s">
        <v>145</v>
      </c>
      <c r="Z1" s="211" t="s">
        <v>146</v>
      </c>
      <c r="AA1" s="213" t="s">
        <v>162</v>
      </c>
      <c r="AB1" s="208" t="s">
        <v>248</v>
      </c>
      <c r="AC1" s="196" t="s">
        <v>163</v>
      </c>
      <c r="AD1" s="201" t="s">
        <v>383</v>
      </c>
      <c r="AE1" s="201"/>
      <c r="AF1" s="198" t="s">
        <v>147</v>
      </c>
      <c r="AG1" s="196" t="s">
        <v>201</v>
      </c>
      <c r="AH1" s="221" t="s">
        <v>186</v>
      </c>
      <c r="AI1" s="198" t="s">
        <v>198</v>
      </c>
      <c r="AJ1" s="185" t="s">
        <v>310</v>
      </c>
      <c r="AK1" s="187" t="s">
        <v>283</v>
      </c>
    </row>
    <row r="2" spans="1:37" ht="27.75" customHeight="1">
      <c r="A2" s="226"/>
      <c r="B2" s="198"/>
      <c r="C2" s="183"/>
      <c r="D2" s="105" t="s">
        <v>266</v>
      </c>
      <c r="E2" s="105" t="s">
        <v>148</v>
      </c>
      <c r="F2" s="63" t="s">
        <v>159</v>
      </c>
      <c r="G2" s="64" t="s">
        <v>149</v>
      </c>
      <c r="H2" s="64" t="s">
        <v>160</v>
      </c>
      <c r="I2" s="64" t="s">
        <v>466</v>
      </c>
      <c r="J2" s="64" t="s">
        <v>151</v>
      </c>
      <c r="K2" s="139" t="s">
        <v>327</v>
      </c>
      <c r="L2" s="64" t="s">
        <v>153</v>
      </c>
      <c r="M2" s="64" t="s">
        <v>154</v>
      </c>
      <c r="N2" s="64" t="s">
        <v>160</v>
      </c>
      <c r="O2" s="64" t="s">
        <v>155</v>
      </c>
      <c r="P2" s="64" t="s">
        <v>156</v>
      </c>
      <c r="Q2" s="64" t="s">
        <v>157</v>
      </c>
      <c r="R2" s="63" t="s">
        <v>158</v>
      </c>
      <c r="S2" s="183"/>
      <c r="T2" s="183"/>
      <c r="U2" s="233"/>
      <c r="V2" s="234"/>
      <c r="W2" s="218"/>
      <c r="X2" s="183"/>
      <c r="Y2" s="198"/>
      <c r="Z2" s="212"/>
      <c r="AA2" s="214"/>
      <c r="AB2" s="235"/>
      <c r="AC2" s="197"/>
      <c r="AD2" s="176" t="s">
        <v>411</v>
      </c>
      <c r="AE2" s="176" t="s">
        <v>412</v>
      </c>
      <c r="AF2" s="198"/>
      <c r="AG2" s="197"/>
      <c r="AH2" s="221"/>
      <c r="AI2" s="198"/>
      <c r="AJ2" s="227"/>
      <c r="AK2" s="228"/>
    </row>
    <row r="3" spans="1:37" s="26" customFormat="1" ht="84">
      <c r="A3" s="114">
        <v>1</v>
      </c>
      <c r="B3" s="39" t="s">
        <v>56</v>
      </c>
      <c r="C3" s="23" t="s">
        <v>236</v>
      </c>
      <c r="D3" s="36" t="s">
        <v>267</v>
      </c>
      <c r="E3" s="36">
        <v>45125</v>
      </c>
      <c r="F3" s="58">
        <v>45125</v>
      </c>
      <c r="G3" s="36">
        <v>45133</v>
      </c>
      <c r="H3" s="45" t="s">
        <v>237</v>
      </c>
      <c r="I3" s="35"/>
      <c r="J3" s="64"/>
      <c r="K3" s="64">
        <f>(L3-G3)/30</f>
        <v>3.2</v>
      </c>
      <c r="L3" s="35">
        <v>45229</v>
      </c>
      <c r="M3" s="64"/>
      <c r="N3" s="64"/>
      <c r="O3" s="35">
        <v>45412</v>
      </c>
      <c r="P3" s="35">
        <v>45421</v>
      </c>
      <c r="Q3" s="52"/>
      <c r="R3" s="40">
        <v>45475</v>
      </c>
      <c r="S3" s="40">
        <v>45563</v>
      </c>
      <c r="T3" s="64" t="s">
        <v>238</v>
      </c>
      <c r="U3" s="64">
        <v>2.4</v>
      </c>
      <c r="V3" s="84">
        <v>45412</v>
      </c>
      <c r="W3" s="134" t="e">
        <f>U3/T3</f>
        <v>#VALUE!</v>
      </c>
      <c r="X3" s="75" t="s">
        <v>246</v>
      </c>
      <c r="Y3" s="10">
        <v>45580</v>
      </c>
      <c r="Z3" s="41">
        <v>45768</v>
      </c>
      <c r="AA3" s="38">
        <v>45868</v>
      </c>
      <c r="AB3" s="101">
        <f>U3*1.25</f>
        <v>3</v>
      </c>
      <c r="AC3" s="77" t="s">
        <v>240</v>
      </c>
      <c r="AD3" s="244" t="s">
        <v>474</v>
      </c>
      <c r="AE3" s="244" t="s">
        <v>476</v>
      </c>
      <c r="AF3" s="15"/>
      <c r="AG3" s="89" t="s">
        <v>241</v>
      </c>
      <c r="AH3" s="25" t="s">
        <v>253</v>
      </c>
      <c r="AI3" s="92" t="s">
        <v>239</v>
      </c>
      <c r="AJ3" s="101">
        <f>AB3</f>
        <v>3</v>
      </c>
      <c r="AK3" s="115">
        <v>4.3</v>
      </c>
    </row>
    <row r="4" spans="1:37" s="26" customFormat="1" ht="56">
      <c r="A4" s="114">
        <v>2</v>
      </c>
      <c r="B4" s="6" t="s">
        <v>132</v>
      </c>
      <c r="C4" s="23" t="s">
        <v>242</v>
      </c>
      <c r="D4" s="103" t="s">
        <v>268</v>
      </c>
      <c r="E4" s="36">
        <v>44874</v>
      </c>
      <c r="F4" s="48">
        <v>44902</v>
      </c>
      <c r="G4" s="49" t="s">
        <v>243</v>
      </c>
      <c r="H4" s="49" t="s">
        <v>245</v>
      </c>
      <c r="I4" s="51" t="s">
        <v>244</v>
      </c>
      <c r="J4" s="51"/>
      <c r="K4" s="138">
        <v>9.5</v>
      </c>
      <c r="L4" s="51">
        <v>45553</v>
      </c>
      <c r="M4" s="37"/>
      <c r="N4" s="37"/>
      <c r="O4" s="50">
        <v>45582</v>
      </c>
      <c r="P4" s="50">
        <v>45595</v>
      </c>
      <c r="Q4" s="51"/>
      <c r="R4" s="40">
        <v>45598</v>
      </c>
      <c r="S4" s="40"/>
      <c r="T4" s="64">
        <v>4.3</v>
      </c>
      <c r="U4" s="64">
        <v>5.4</v>
      </c>
      <c r="V4" s="84">
        <v>45286</v>
      </c>
      <c r="W4" s="134">
        <f t="shared" ref="W4:W13" si="0">U4/T4</f>
        <v>1.2558139534883723</v>
      </c>
      <c r="X4" s="67">
        <v>45639</v>
      </c>
      <c r="Y4" s="43">
        <v>45653</v>
      </c>
      <c r="Z4" s="41">
        <v>46185</v>
      </c>
      <c r="AA4" s="38"/>
      <c r="AB4" s="101">
        <f t="shared" ref="AB4:AB13" si="1">U4*1.25</f>
        <v>6.75</v>
      </c>
      <c r="AC4" s="77" t="s">
        <v>247</v>
      </c>
      <c r="AD4" s="246" t="s">
        <v>473</v>
      </c>
      <c r="AE4" s="245" t="s">
        <v>478</v>
      </c>
      <c r="AF4" s="15"/>
      <c r="AG4" s="89" t="s">
        <v>467</v>
      </c>
      <c r="AH4" s="90" t="s">
        <v>254</v>
      </c>
      <c r="AI4" s="25"/>
      <c r="AJ4" s="101">
        <f t="shared" ref="AJ4:AJ13" si="2">AB4</f>
        <v>6.75</v>
      </c>
      <c r="AK4" s="115">
        <v>7</v>
      </c>
    </row>
    <row r="5" spans="1:37" s="26" customFormat="1" ht="84">
      <c r="A5" s="87">
        <v>3</v>
      </c>
      <c r="B5" s="6" t="s">
        <v>57</v>
      </c>
      <c r="C5" s="23" t="s">
        <v>64</v>
      </c>
      <c r="D5" s="243" t="s">
        <v>269</v>
      </c>
      <c r="E5" s="36">
        <v>44695</v>
      </c>
      <c r="F5" s="36">
        <v>44707</v>
      </c>
      <c r="G5" s="45"/>
      <c r="H5" s="45"/>
      <c r="I5" s="36">
        <v>44957</v>
      </c>
      <c r="J5" s="45"/>
      <c r="K5" s="138">
        <f>(L5-I5)/30</f>
        <v>19.600000000000001</v>
      </c>
      <c r="L5" s="36">
        <v>45545</v>
      </c>
      <c r="M5" s="73"/>
      <c r="N5" s="45"/>
      <c r="O5" s="45">
        <v>45612</v>
      </c>
      <c r="P5" s="51">
        <v>45595</v>
      </c>
      <c r="Q5" s="35"/>
      <c r="R5" s="45">
        <v>45612</v>
      </c>
      <c r="S5" s="44"/>
      <c r="T5" s="52">
        <v>1.35</v>
      </c>
      <c r="U5" s="62">
        <v>1.35</v>
      </c>
      <c r="V5" s="84">
        <v>45595</v>
      </c>
      <c r="W5" s="134">
        <f t="shared" si="0"/>
        <v>1</v>
      </c>
      <c r="X5" s="67">
        <v>45658</v>
      </c>
      <c r="Y5" s="43">
        <v>45670</v>
      </c>
      <c r="Z5" s="38"/>
      <c r="AA5" s="38"/>
      <c r="AB5" s="101">
        <f t="shared" si="1"/>
        <v>1.6875</v>
      </c>
      <c r="AC5" s="100" t="s">
        <v>258</v>
      </c>
      <c r="AD5" s="245" t="s">
        <v>475</v>
      </c>
      <c r="AE5" s="247" t="s">
        <v>477</v>
      </c>
      <c r="AF5" s="99" t="s">
        <v>255</v>
      </c>
      <c r="AG5" s="91" t="s">
        <v>257</v>
      </c>
      <c r="AH5" s="236"/>
      <c r="AI5" s="25" t="s">
        <v>256</v>
      </c>
      <c r="AJ5" s="101">
        <f t="shared" si="2"/>
        <v>1.6875</v>
      </c>
      <c r="AK5" s="115" t="s">
        <v>165</v>
      </c>
    </row>
    <row r="6" spans="1:37" s="26" customFormat="1" ht="98">
      <c r="A6" s="114">
        <v>4</v>
      </c>
      <c r="B6" s="6" t="s">
        <v>58</v>
      </c>
      <c r="C6" s="23" t="s">
        <v>259</v>
      </c>
      <c r="D6" s="78" t="s">
        <v>270</v>
      </c>
      <c r="E6" s="98">
        <v>45349</v>
      </c>
      <c r="F6" s="73">
        <v>45342</v>
      </c>
      <c r="G6" s="56">
        <v>45352</v>
      </c>
      <c r="H6" s="36">
        <v>45426</v>
      </c>
      <c r="I6" s="45"/>
      <c r="J6" s="45"/>
      <c r="K6" s="140">
        <f>(L6-G6)/30</f>
        <v>7.833333333333333</v>
      </c>
      <c r="L6" s="36">
        <v>45587</v>
      </c>
      <c r="M6" s="45"/>
      <c r="N6" s="45"/>
      <c r="O6" s="54">
        <v>45603</v>
      </c>
      <c r="P6" s="45">
        <v>45616</v>
      </c>
      <c r="Q6" s="54"/>
      <c r="R6" s="54">
        <v>45622</v>
      </c>
      <c r="S6" s="54">
        <v>45650</v>
      </c>
      <c r="T6" s="52">
        <v>1</v>
      </c>
      <c r="U6" s="62">
        <v>1.33</v>
      </c>
      <c r="V6" s="84">
        <v>45602</v>
      </c>
      <c r="W6" s="134">
        <f t="shared" si="0"/>
        <v>1.33</v>
      </c>
      <c r="X6" s="67" t="s">
        <v>265</v>
      </c>
      <c r="Y6" s="43"/>
      <c r="Z6" s="75">
        <v>45783</v>
      </c>
      <c r="AA6" s="38"/>
      <c r="AB6" s="101">
        <f t="shared" si="1"/>
        <v>1.6625000000000001</v>
      </c>
      <c r="AC6" s="77" t="s">
        <v>264</v>
      </c>
      <c r="AD6" s="245" t="s">
        <v>479</v>
      </c>
      <c r="AE6" s="247" t="s">
        <v>480</v>
      </c>
      <c r="AF6" s="60"/>
      <c r="AG6" s="89" t="s">
        <v>262</v>
      </c>
      <c r="AH6" s="237"/>
      <c r="AI6" s="102" t="s">
        <v>263</v>
      </c>
      <c r="AJ6" s="101">
        <f t="shared" si="2"/>
        <v>1.6625000000000001</v>
      </c>
      <c r="AK6" s="115">
        <v>2</v>
      </c>
    </row>
    <row r="7" spans="1:37" s="26" customFormat="1" ht="112">
      <c r="A7" s="114">
        <v>5</v>
      </c>
      <c r="B7" s="95" t="s">
        <v>273</v>
      </c>
      <c r="C7" s="23" t="s">
        <v>65</v>
      </c>
      <c r="D7" s="78" t="s">
        <v>271</v>
      </c>
      <c r="E7" s="98">
        <v>45364</v>
      </c>
      <c r="F7" s="73">
        <v>45364</v>
      </c>
      <c r="G7" s="56">
        <v>45534</v>
      </c>
      <c r="H7" s="45"/>
      <c r="I7" s="45"/>
      <c r="J7" s="45"/>
      <c r="K7" s="140">
        <f>(L7-G7)/30</f>
        <v>1.0333333333333334</v>
      </c>
      <c r="L7" s="36">
        <v>45565</v>
      </c>
      <c r="M7" s="55"/>
      <c r="N7" s="54" t="s">
        <v>272</v>
      </c>
      <c r="O7" s="45">
        <v>45612</v>
      </c>
      <c r="P7" s="45">
        <v>45612</v>
      </c>
      <c r="Q7" s="54"/>
      <c r="R7" s="54">
        <v>45633</v>
      </c>
      <c r="S7" s="44">
        <v>45652</v>
      </c>
      <c r="T7" s="52">
        <v>1.95</v>
      </c>
      <c r="U7" s="62">
        <v>3.15</v>
      </c>
      <c r="V7" s="84">
        <v>45612</v>
      </c>
      <c r="W7" s="134">
        <f t="shared" si="0"/>
        <v>1.6153846153846154</v>
      </c>
      <c r="X7" s="67">
        <v>45652</v>
      </c>
      <c r="Y7" s="67"/>
      <c r="Z7" s="41"/>
      <c r="AA7" s="38"/>
      <c r="AB7" s="101">
        <f t="shared" si="1"/>
        <v>3.9375</v>
      </c>
      <c r="AC7" s="77"/>
      <c r="AD7" s="245" t="s">
        <v>481</v>
      </c>
      <c r="AE7" s="247" t="s">
        <v>482</v>
      </c>
      <c r="AF7" s="60"/>
      <c r="AG7" s="89" t="s">
        <v>277</v>
      </c>
      <c r="AH7" s="25"/>
      <c r="AI7" s="25"/>
      <c r="AJ7" s="101">
        <f t="shared" si="2"/>
        <v>3.9375</v>
      </c>
      <c r="AK7" s="115">
        <v>4</v>
      </c>
    </row>
    <row r="8" spans="1:37" s="26" customFormat="1" ht="84">
      <c r="A8" s="114">
        <v>6</v>
      </c>
      <c r="B8" s="6" t="s">
        <v>274</v>
      </c>
      <c r="C8" s="23" t="s">
        <v>275</v>
      </c>
      <c r="D8" s="78">
        <v>44945</v>
      </c>
      <c r="E8" s="107">
        <v>44982</v>
      </c>
      <c r="F8" s="107">
        <v>44982</v>
      </c>
      <c r="G8" s="36">
        <v>45009</v>
      </c>
      <c r="H8" s="36">
        <v>45057</v>
      </c>
      <c r="I8" s="36">
        <v>45160</v>
      </c>
      <c r="J8" s="45"/>
      <c r="K8" s="138">
        <f>(L8-I8)/30</f>
        <v>14.9</v>
      </c>
      <c r="L8" s="78">
        <v>45607</v>
      </c>
      <c r="M8" s="54"/>
      <c r="N8" s="55"/>
      <c r="O8" s="54">
        <v>45632</v>
      </c>
      <c r="P8" s="54">
        <v>45615</v>
      </c>
      <c r="Q8" s="54"/>
      <c r="R8" s="44">
        <v>45639</v>
      </c>
      <c r="S8" s="44">
        <v>45654</v>
      </c>
      <c r="T8" s="52">
        <v>0.79</v>
      </c>
      <c r="U8" s="32">
        <v>1.7</v>
      </c>
      <c r="V8" s="84">
        <v>45607</v>
      </c>
      <c r="W8" s="134">
        <f t="shared" si="0"/>
        <v>2.1518987341772151</v>
      </c>
      <c r="X8" s="43" t="s">
        <v>284</v>
      </c>
      <c r="Y8" s="222">
        <v>45846</v>
      </c>
      <c r="Z8" s="223"/>
      <c r="AA8" s="38">
        <v>46024</v>
      </c>
      <c r="AB8" s="101">
        <f t="shared" si="1"/>
        <v>2.125</v>
      </c>
      <c r="AC8" s="77" t="s">
        <v>281</v>
      </c>
      <c r="AD8" s="245" t="s">
        <v>483</v>
      </c>
      <c r="AE8" s="135" t="s">
        <v>484</v>
      </c>
      <c r="AF8" s="116" t="s">
        <v>285</v>
      </c>
      <c r="AG8" s="89" t="s">
        <v>278</v>
      </c>
      <c r="AH8" s="25"/>
      <c r="AI8" s="25"/>
      <c r="AJ8" s="101">
        <f t="shared" si="2"/>
        <v>2.125</v>
      </c>
      <c r="AK8" s="115">
        <v>2.2000000000000002</v>
      </c>
    </row>
    <row r="9" spans="1:37" s="26" customFormat="1" ht="56">
      <c r="A9" s="114">
        <v>7</v>
      </c>
      <c r="B9" s="53" t="s">
        <v>59</v>
      </c>
      <c r="C9" s="53" t="s">
        <v>66</v>
      </c>
      <c r="D9" s="104">
        <v>45317</v>
      </c>
      <c r="E9" s="117">
        <v>45346</v>
      </c>
      <c r="F9" s="104">
        <v>45346</v>
      </c>
      <c r="G9" s="45">
        <v>45356</v>
      </c>
      <c r="H9" s="36">
        <v>45371</v>
      </c>
      <c r="I9" s="45"/>
      <c r="J9" s="45"/>
      <c r="K9" s="140">
        <f>(L9-H9)/30</f>
        <v>7.8</v>
      </c>
      <c r="L9" s="78">
        <v>45605</v>
      </c>
      <c r="M9" s="55"/>
      <c r="N9" s="54"/>
      <c r="O9" s="78">
        <v>45605</v>
      </c>
      <c r="P9" s="54">
        <v>45619</v>
      </c>
      <c r="Q9" s="54"/>
      <c r="R9" s="54">
        <v>45638</v>
      </c>
      <c r="S9" s="44">
        <v>45657</v>
      </c>
      <c r="T9" s="52">
        <v>3</v>
      </c>
      <c r="U9" s="62">
        <v>3.6</v>
      </c>
      <c r="V9" s="85">
        <v>45605</v>
      </c>
      <c r="W9" s="134">
        <f t="shared" si="0"/>
        <v>1.2</v>
      </c>
      <c r="X9" s="67" t="s">
        <v>290</v>
      </c>
      <c r="Y9" s="222">
        <v>45765</v>
      </c>
      <c r="Z9" s="223"/>
      <c r="AA9" s="38">
        <v>46018</v>
      </c>
      <c r="AB9" s="101">
        <f t="shared" si="1"/>
        <v>4.5</v>
      </c>
      <c r="AC9" s="77"/>
      <c r="AD9" s="245" t="s">
        <v>485</v>
      </c>
      <c r="AE9" s="135" t="s">
        <v>486</v>
      </c>
      <c r="AF9" s="60"/>
      <c r="AG9" s="88" t="s">
        <v>286</v>
      </c>
      <c r="AH9" s="25"/>
      <c r="AI9" s="25"/>
      <c r="AJ9" s="101">
        <f t="shared" si="2"/>
        <v>4.5</v>
      </c>
      <c r="AK9" s="115">
        <v>5.2</v>
      </c>
    </row>
    <row r="10" spans="1:37" s="81" customFormat="1" ht="42">
      <c r="A10" s="114">
        <v>8</v>
      </c>
      <c r="B10" s="6" t="s">
        <v>60</v>
      </c>
      <c r="C10" s="23" t="s">
        <v>67</v>
      </c>
      <c r="D10" s="117" t="s">
        <v>291</v>
      </c>
      <c r="E10" s="117" t="s">
        <v>292</v>
      </c>
      <c r="F10" s="117" t="s">
        <v>292</v>
      </c>
      <c r="G10" s="117">
        <v>45484</v>
      </c>
      <c r="H10" s="36" t="s">
        <v>293</v>
      </c>
      <c r="I10" s="45"/>
      <c r="J10" s="45"/>
      <c r="K10" s="140">
        <f>(L10-G10)/30</f>
        <v>4.5</v>
      </c>
      <c r="L10" s="74">
        <v>45619</v>
      </c>
      <c r="M10" s="55"/>
      <c r="N10" s="55"/>
      <c r="O10" s="54">
        <v>45631</v>
      </c>
      <c r="P10" s="54">
        <v>45639</v>
      </c>
      <c r="Q10" s="54"/>
      <c r="R10" s="54">
        <v>45650</v>
      </c>
      <c r="S10" s="44"/>
      <c r="T10" s="52">
        <v>0.66</v>
      </c>
      <c r="U10" s="86">
        <v>1</v>
      </c>
      <c r="V10" s="85">
        <v>45631</v>
      </c>
      <c r="W10" s="134">
        <f t="shared" si="0"/>
        <v>1.5151515151515151</v>
      </c>
      <c r="X10" s="83" t="s">
        <v>296</v>
      </c>
      <c r="Y10" s="222">
        <v>45806</v>
      </c>
      <c r="Z10" s="223"/>
      <c r="AA10" s="79">
        <v>46032</v>
      </c>
      <c r="AB10" s="101">
        <f t="shared" si="1"/>
        <v>1.25</v>
      </c>
      <c r="AC10" s="77" t="s">
        <v>297</v>
      </c>
      <c r="AD10" s="135"/>
      <c r="AE10" s="135"/>
      <c r="AF10" s="60"/>
      <c r="AG10" s="88" t="s">
        <v>295</v>
      </c>
      <c r="AH10" s="60"/>
      <c r="AI10" s="60"/>
      <c r="AJ10" s="101">
        <f t="shared" si="2"/>
        <v>1.25</v>
      </c>
      <c r="AK10" s="115">
        <v>1.6</v>
      </c>
    </row>
    <row r="11" spans="1:37" s="81" customFormat="1" ht="42">
      <c r="A11" s="114">
        <v>9</v>
      </c>
      <c r="B11" s="6" t="s">
        <v>61</v>
      </c>
      <c r="C11" s="23" t="s">
        <v>68</v>
      </c>
      <c r="D11" s="45">
        <v>45328</v>
      </c>
      <c r="E11" s="78">
        <v>45356</v>
      </c>
      <c r="F11" s="78">
        <v>45356</v>
      </c>
      <c r="G11" s="36">
        <v>45423</v>
      </c>
      <c r="H11" s="36">
        <v>45596</v>
      </c>
      <c r="I11" s="45"/>
      <c r="J11" s="45"/>
      <c r="K11" s="140">
        <f>(L11-G11)/30</f>
        <v>6.6</v>
      </c>
      <c r="L11" s="74">
        <v>45621</v>
      </c>
      <c r="M11" s="55"/>
      <c r="N11" s="55"/>
      <c r="O11" s="54" t="s">
        <v>299</v>
      </c>
      <c r="P11" s="45">
        <v>45633</v>
      </c>
      <c r="Q11" s="45"/>
      <c r="R11" s="44">
        <v>45650</v>
      </c>
      <c r="S11" s="44">
        <v>45657</v>
      </c>
      <c r="T11" s="52">
        <v>0.90500000000000003</v>
      </c>
      <c r="U11" s="62">
        <v>1.3</v>
      </c>
      <c r="V11" s="84">
        <v>45626</v>
      </c>
      <c r="W11" s="134">
        <f>U11/T11</f>
        <v>1.4364640883977902</v>
      </c>
      <c r="X11" s="83" t="s">
        <v>306</v>
      </c>
      <c r="Y11" s="83"/>
      <c r="Z11" s="83"/>
      <c r="AA11" s="45">
        <v>46072</v>
      </c>
      <c r="AB11" s="101">
        <f t="shared" si="1"/>
        <v>1.625</v>
      </c>
      <c r="AC11" s="177" t="s">
        <v>301</v>
      </c>
      <c r="AD11" s="135"/>
      <c r="AE11" s="135"/>
      <c r="AF11" s="119" t="s">
        <v>300</v>
      </c>
      <c r="AG11" s="88" t="s">
        <v>298</v>
      </c>
      <c r="AH11" s="60"/>
      <c r="AI11" s="60"/>
      <c r="AJ11" s="101">
        <f t="shared" si="2"/>
        <v>1.625</v>
      </c>
      <c r="AK11" s="115">
        <v>1.87</v>
      </c>
    </row>
    <row r="12" spans="1:37" s="26" customFormat="1" ht="84">
      <c r="A12" s="114">
        <v>10</v>
      </c>
      <c r="B12" s="6" t="s">
        <v>62</v>
      </c>
      <c r="C12" s="23" t="s">
        <v>69</v>
      </c>
      <c r="D12" s="107">
        <v>45325</v>
      </c>
      <c r="E12" s="98">
        <v>45328</v>
      </c>
      <c r="F12" s="98">
        <v>45328</v>
      </c>
      <c r="G12" s="36">
        <v>45440</v>
      </c>
      <c r="H12" s="45">
        <v>45549</v>
      </c>
      <c r="I12" s="45">
        <v>45566</v>
      </c>
      <c r="J12" s="45"/>
      <c r="K12" s="140">
        <f>(L12-G12)/30</f>
        <v>5.4</v>
      </c>
      <c r="L12" s="36">
        <v>45602</v>
      </c>
      <c r="M12" s="55"/>
      <c r="N12" s="55"/>
      <c r="O12" s="54"/>
      <c r="P12" s="74">
        <v>45630</v>
      </c>
      <c r="Q12" s="54"/>
      <c r="R12" s="68">
        <v>45637</v>
      </c>
      <c r="S12" s="68">
        <v>45657</v>
      </c>
      <c r="T12" s="55">
        <v>1.7</v>
      </c>
      <c r="U12" s="62">
        <v>2.4</v>
      </c>
      <c r="V12" s="84">
        <v>45566</v>
      </c>
      <c r="W12" s="134">
        <f t="shared" si="0"/>
        <v>1.411764705882353</v>
      </c>
      <c r="X12" s="83" t="s">
        <v>305</v>
      </c>
      <c r="Y12" s="222">
        <v>45797</v>
      </c>
      <c r="Z12" s="223"/>
      <c r="AA12" s="120" t="s">
        <v>307</v>
      </c>
      <c r="AB12" s="101">
        <f t="shared" si="1"/>
        <v>3</v>
      </c>
      <c r="AC12" s="77" t="s">
        <v>304</v>
      </c>
      <c r="AD12" s="135"/>
      <c r="AE12" s="135"/>
      <c r="AF12" s="60"/>
      <c r="AG12" s="88" t="s">
        <v>303</v>
      </c>
      <c r="AH12" s="25"/>
      <c r="AI12" s="25"/>
      <c r="AJ12" s="101">
        <f t="shared" si="2"/>
        <v>3</v>
      </c>
      <c r="AK12" s="115">
        <v>3.2</v>
      </c>
    </row>
    <row r="13" spans="1:37" s="26" customFormat="1" ht="28">
      <c r="A13" s="32">
        <v>11</v>
      </c>
      <c r="B13" s="6" t="s">
        <v>63</v>
      </c>
      <c r="C13" s="23" t="s">
        <v>70</v>
      </c>
      <c r="D13" s="121" t="s">
        <v>308</v>
      </c>
      <c r="E13" s="78">
        <v>45509</v>
      </c>
      <c r="F13" s="78">
        <v>45525</v>
      </c>
      <c r="G13" s="36">
        <v>45541</v>
      </c>
      <c r="H13" s="45">
        <v>45556</v>
      </c>
      <c r="I13" s="45"/>
      <c r="J13" s="45"/>
      <c r="K13" s="140">
        <f>(L13-G13)/30</f>
        <v>1.6</v>
      </c>
      <c r="L13" s="74">
        <v>45589</v>
      </c>
      <c r="M13" s="55"/>
      <c r="N13" s="55"/>
      <c r="O13" s="54">
        <v>45617</v>
      </c>
      <c r="P13" s="54">
        <v>45629</v>
      </c>
      <c r="Q13" s="54"/>
      <c r="R13" s="44"/>
      <c r="S13" s="44">
        <v>45657</v>
      </c>
      <c r="T13" s="52">
        <v>3.05</v>
      </c>
      <c r="U13" s="62">
        <v>4.58</v>
      </c>
      <c r="V13" s="84">
        <v>45625</v>
      </c>
      <c r="W13" s="134">
        <f t="shared" si="0"/>
        <v>1.5016393442622953</v>
      </c>
      <c r="X13" s="67" t="s">
        <v>306</v>
      </c>
      <c r="Y13" s="222"/>
      <c r="Z13" s="223"/>
      <c r="AA13" s="38"/>
      <c r="AB13" s="101">
        <f t="shared" si="1"/>
        <v>5.7249999999999996</v>
      </c>
      <c r="AC13" s="77"/>
      <c r="AD13" s="135"/>
      <c r="AE13" s="135"/>
      <c r="AF13" s="60"/>
      <c r="AG13" s="60" t="s">
        <v>309</v>
      </c>
      <c r="AH13" s="25"/>
      <c r="AI13" s="25"/>
      <c r="AJ13" s="101">
        <f t="shared" si="2"/>
        <v>5.7249999999999996</v>
      </c>
      <c r="AK13" s="115" t="s">
        <v>165</v>
      </c>
    </row>
    <row r="14" spans="1:37">
      <c r="K14" s="141" t="s">
        <v>328</v>
      </c>
    </row>
    <row r="16" spans="1:37" ht="30.75" customHeight="1">
      <c r="A16" s="229" t="s">
        <v>260</v>
      </c>
      <c r="B16" s="230"/>
    </row>
    <row r="17" spans="1:2" ht="28.5" customHeight="1">
      <c r="A17" s="224" t="s">
        <v>261</v>
      </c>
      <c r="B17" s="225"/>
    </row>
  </sheetData>
  <mergeCells count="30">
    <mergeCell ref="AJ1:AJ2"/>
    <mergeCell ref="AK1:AK2"/>
    <mergeCell ref="Y10:Z10"/>
    <mergeCell ref="S1:S2"/>
    <mergeCell ref="A16:B16"/>
    <mergeCell ref="L1:R1"/>
    <mergeCell ref="AI1:AI2"/>
    <mergeCell ref="T1:T2"/>
    <mergeCell ref="U1:V2"/>
    <mergeCell ref="X1:X2"/>
    <mergeCell ref="Y1:Y2"/>
    <mergeCell ref="Z1:Z2"/>
    <mergeCell ref="AA1:AA2"/>
    <mergeCell ref="AB1:AB2"/>
    <mergeCell ref="AH5:AH6"/>
    <mergeCell ref="Y9:Z9"/>
    <mergeCell ref="AH1:AH2"/>
    <mergeCell ref="Y12:Z12"/>
    <mergeCell ref="A17:B17"/>
    <mergeCell ref="A1:A2"/>
    <mergeCell ref="B1:B2"/>
    <mergeCell ref="C1:C2"/>
    <mergeCell ref="E1:K1"/>
    <mergeCell ref="W1:W2"/>
    <mergeCell ref="Y13:Z13"/>
    <mergeCell ref="AC1:AC2"/>
    <mergeCell ref="AF1:AF2"/>
    <mergeCell ref="AG1:AG2"/>
    <mergeCell ref="AD1:AE1"/>
    <mergeCell ref="Y8:Z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18"/>
  <sheetViews>
    <sheetView zoomScale="90" zoomScaleNormal="90" workbookViewId="0">
      <selection activeCell="AA6" sqref="AA6"/>
    </sheetView>
  </sheetViews>
  <sheetFormatPr defaultRowHeight="14"/>
  <cols>
    <col min="1" max="1" width="8.58203125" style="9"/>
    <col min="4" max="4" width="14.83203125" customWidth="1"/>
    <col min="5" max="5" width="11.08203125" hidden="1" customWidth="1"/>
    <col min="6" max="6" width="11.58203125" bestFit="1" customWidth="1"/>
    <col min="7" max="7" width="11.08203125" customWidth="1"/>
    <col min="8" max="8" width="13.75" customWidth="1"/>
    <col min="9" max="10" width="12.33203125" bestFit="1" customWidth="1"/>
    <col min="11" max="11" width="12.25" style="9" customWidth="1"/>
    <col min="12" max="13" width="10.83203125" customWidth="1"/>
    <col min="14" max="16" width="11.58203125" bestFit="1" customWidth="1"/>
    <col min="17" max="17" width="11.58203125" customWidth="1"/>
    <col min="18" max="18" width="13.83203125" customWidth="1"/>
    <col min="19" max="19" width="10.25" style="9" bestFit="1" customWidth="1"/>
    <col min="20" max="20" width="12.33203125" customWidth="1"/>
    <col min="21" max="21" width="16.08203125" customWidth="1"/>
    <col min="22" max="22" width="17.75" bestFit="1" customWidth="1"/>
    <col min="23" max="23" width="10.5" bestFit="1" customWidth="1"/>
    <col min="24" max="25" width="11.58203125" bestFit="1" customWidth="1"/>
    <col min="26" max="26" width="39.83203125" customWidth="1"/>
    <col min="27" max="28" width="43.08203125" customWidth="1"/>
    <col min="29" max="29" width="26.5" bestFit="1" customWidth="1"/>
    <col min="30" max="30" width="31" customWidth="1"/>
    <col min="31" max="31" width="14.58203125" bestFit="1" customWidth="1"/>
  </cols>
  <sheetData>
    <row r="1" spans="1:32" ht="20.5" customHeight="1">
      <c r="A1" s="226" t="s">
        <v>24</v>
      </c>
      <c r="B1" s="198" t="s">
        <v>139</v>
      </c>
      <c r="C1" s="183" t="s">
        <v>140</v>
      </c>
      <c r="D1" s="183" t="s">
        <v>141</v>
      </c>
      <c r="E1" s="183"/>
      <c r="F1" s="183"/>
      <c r="G1" s="183"/>
      <c r="H1" s="183"/>
      <c r="I1" s="183"/>
      <c r="J1" s="183"/>
      <c r="K1" s="183" t="s">
        <v>142</v>
      </c>
      <c r="L1" s="183"/>
      <c r="M1" s="183"/>
      <c r="N1" s="183"/>
      <c r="O1" s="183"/>
      <c r="P1" s="183"/>
      <c r="Q1" s="183"/>
      <c r="R1" s="183" t="s">
        <v>143</v>
      </c>
      <c r="S1" s="183" t="s">
        <v>144</v>
      </c>
      <c r="T1" s="231" t="s">
        <v>161</v>
      </c>
      <c r="U1" s="232"/>
      <c r="V1" s="198" t="s">
        <v>138</v>
      </c>
      <c r="W1" s="198" t="s">
        <v>145</v>
      </c>
      <c r="X1" s="211" t="s">
        <v>146</v>
      </c>
      <c r="Y1" s="213" t="s">
        <v>162</v>
      </c>
      <c r="Z1" s="196" t="s">
        <v>163</v>
      </c>
      <c r="AA1" s="198" t="s">
        <v>147</v>
      </c>
      <c r="AB1" s="196" t="s">
        <v>201</v>
      </c>
      <c r="AC1" s="221" t="s">
        <v>186</v>
      </c>
      <c r="AD1" s="198" t="s">
        <v>198</v>
      </c>
      <c r="AE1" s="219" t="s">
        <v>340</v>
      </c>
      <c r="AF1" s="6"/>
    </row>
    <row r="2" spans="1:32" ht="28">
      <c r="A2" s="226"/>
      <c r="B2" s="198"/>
      <c r="C2" s="183"/>
      <c r="D2" s="33" t="s">
        <v>148</v>
      </c>
      <c r="E2" s="33" t="s">
        <v>159</v>
      </c>
      <c r="F2" s="34" t="s">
        <v>149</v>
      </c>
      <c r="G2" s="34" t="s">
        <v>160</v>
      </c>
      <c r="H2" s="34" t="s">
        <v>150</v>
      </c>
      <c r="I2" s="34" t="s">
        <v>151</v>
      </c>
      <c r="J2" s="139" t="s">
        <v>327</v>
      </c>
      <c r="K2" s="64" t="s">
        <v>153</v>
      </c>
      <c r="L2" s="34" t="s">
        <v>154</v>
      </c>
      <c r="M2" s="34" t="s">
        <v>160</v>
      </c>
      <c r="N2" s="34" t="s">
        <v>155</v>
      </c>
      <c r="O2" s="34" t="s">
        <v>156</v>
      </c>
      <c r="P2" s="34" t="s">
        <v>157</v>
      </c>
      <c r="Q2" s="33" t="s">
        <v>158</v>
      </c>
      <c r="R2" s="183"/>
      <c r="S2" s="183"/>
      <c r="T2" s="233"/>
      <c r="U2" s="234"/>
      <c r="V2" s="198"/>
      <c r="W2" s="198"/>
      <c r="X2" s="212"/>
      <c r="Y2" s="214"/>
      <c r="Z2" s="197"/>
      <c r="AA2" s="198"/>
      <c r="AB2" s="197"/>
      <c r="AC2" s="221"/>
      <c r="AD2" s="198"/>
      <c r="AE2" s="220"/>
      <c r="AF2" s="6"/>
    </row>
    <row r="3" spans="1:32" s="26" customFormat="1" ht="85" customHeight="1">
      <c r="A3" s="32">
        <v>1</v>
      </c>
      <c r="B3" s="1" t="s">
        <v>72</v>
      </c>
      <c r="C3" s="39" t="s">
        <v>43</v>
      </c>
      <c r="D3" s="36">
        <v>44958</v>
      </c>
      <c r="E3" s="40">
        <v>44964</v>
      </c>
      <c r="F3" s="35">
        <v>44974</v>
      </c>
      <c r="G3" s="36">
        <v>44996</v>
      </c>
      <c r="H3" s="35">
        <v>45010</v>
      </c>
      <c r="I3" s="34"/>
      <c r="J3" s="142">
        <f>(K3-H3)/30</f>
        <v>3.9333333333333331</v>
      </c>
      <c r="K3" s="35">
        <v>45128</v>
      </c>
      <c r="L3" s="34" t="s">
        <v>49</v>
      </c>
      <c r="M3" s="34"/>
      <c r="N3" s="34"/>
      <c r="O3" s="36">
        <v>45170</v>
      </c>
      <c r="P3" s="34"/>
      <c r="Q3" s="40">
        <v>45183</v>
      </c>
      <c r="R3" s="40">
        <v>45260</v>
      </c>
      <c r="S3" s="64" t="s">
        <v>75</v>
      </c>
      <c r="T3" s="34">
        <v>2.1</v>
      </c>
      <c r="U3" s="84">
        <v>45010</v>
      </c>
      <c r="V3" s="40" t="s">
        <v>164</v>
      </c>
      <c r="W3" s="10">
        <v>45451</v>
      </c>
      <c r="X3" s="33" t="s">
        <v>165</v>
      </c>
      <c r="Y3" s="38">
        <v>45612</v>
      </c>
      <c r="Z3" s="77" t="s">
        <v>181</v>
      </c>
      <c r="AA3" s="15" t="s">
        <v>197</v>
      </c>
      <c r="AB3" s="89" t="s">
        <v>209</v>
      </c>
      <c r="AC3" s="25" t="s">
        <v>200</v>
      </c>
      <c r="AD3" s="148" t="s">
        <v>203</v>
      </c>
      <c r="AE3" s="25" t="s">
        <v>341</v>
      </c>
      <c r="AF3" s="149"/>
    </row>
    <row r="4" spans="1:32" s="26" customFormat="1" ht="85" customHeight="1">
      <c r="A4" s="76">
        <v>2</v>
      </c>
      <c r="B4" s="46" t="s">
        <v>73</v>
      </c>
      <c r="C4" s="47" t="s">
        <v>199</v>
      </c>
      <c r="D4" s="48">
        <v>44860</v>
      </c>
      <c r="E4" s="48">
        <v>44860</v>
      </c>
      <c r="F4" s="49">
        <v>44926</v>
      </c>
      <c r="G4" s="50" t="s">
        <v>167</v>
      </c>
      <c r="H4" s="51"/>
      <c r="I4" s="51"/>
      <c r="J4" s="143">
        <f>(K4-F4)/30</f>
        <v>6.7333333333333334</v>
      </c>
      <c r="K4" s="51">
        <v>45128</v>
      </c>
      <c r="L4" s="37" t="s">
        <v>168</v>
      </c>
      <c r="M4" s="37"/>
      <c r="N4" s="50">
        <v>45143</v>
      </c>
      <c r="O4" s="50">
        <v>45143</v>
      </c>
      <c r="P4" s="51">
        <v>45227</v>
      </c>
      <c r="Q4" s="40">
        <v>45234</v>
      </c>
      <c r="R4" s="40">
        <v>45279</v>
      </c>
      <c r="S4" s="64">
        <v>1.1000000000000001</v>
      </c>
      <c r="T4" s="34">
        <v>1.6</v>
      </c>
      <c r="U4" s="84">
        <v>45143</v>
      </c>
      <c r="V4" s="42" t="s">
        <v>169</v>
      </c>
      <c r="W4" s="242" t="s">
        <v>170</v>
      </c>
      <c r="X4" s="242"/>
      <c r="Y4" s="38">
        <v>45634</v>
      </c>
      <c r="Z4" s="77" t="s">
        <v>171</v>
      </c>
      <c r="AA4" s="15" t="s">
        <v>166</v>
      </c>
      <c r="AB4" s="89" t="s">
        <v>210</v>
      </c>
      <c r="AC4" s="90" t="s">
        <v>187</v>
      </c>
      <c r="AE4" s="25"/>
    </row>
    <row r="5" spans="1:32" s="26" customFormat="1" ht="59.25" customHeight="1">
      <c r="A5" s="32">
        <v>3</v>
      </c>
      <c r="B5" s="1" t="s">
        <v>32</v>
      </c>
      <c r="C5" s="7">
        <v>600117</v>
      </c>
      <c r="D5" s="56">
        <v>45070</v>
      </c>
      <c r="E5" s="22"/>
      <c r="F5" s="57"/>
      <c r="G5" s="57"/>
      <c r="H5" s="45"/>
      <c r="I5" s="45"/>
      <c r="J5" s="144">
        <f>(K5-D5)/30</f>
        <v>0.96666666666666667</v>
      </c>
      <c r="K5" s="36">
        <v>45099</v>
      </c>
      <c r="L5" s="56">
        <v>45099</v>
      </c>
      <c r="M5" s="36" t="s">
        <v>172</v>
      </c>
      <c r="N5" s="45">
        <v>45217</v>
      </c>
      <c r="O5" s="45">
        <v>45217</v>
      </c>
      <c r="P5" s="45"/>
      <c r="Q5" s="45">
        <v>45237</v>
      </c>
      <c r="R5" s="58">
        <v>45281</v>
      </c>
      <c r="S5" s="52">
        <v>1.29</v>
      </c>
      <c r="T5" s="52">
        <v>1.7</v>
      </c>
      <c r="U5" s="84">
        <v>45217</v>
      </c>
      <c r="V5" s="42" t="s">
        <v>173</v>
      </c>
      <c r="W5" s="43">
        <v>45420</v>
      </c>
      <c r="X5" s="59">
        <v>45490</v>
      </c>
      <c r="Y5" s="38">
        <v>45643</v>
      </c>
      <c r="Z5" s="77" t="s">
        <v>174</v>
      </c>
      <c r="AA5" s="60"/>
      <c r="AB5" s="91" t="s">
        <v>211</v>
      </c>
      <c r="AC5" s="236" t="s">
        <v>195</v>
      </c>
      <c r="AE5" s="25"/>
    </row>
    <row r="6" spans="1:32" s="26" customFormat="1" ht="93" customHeight="1">
      <c r="A6" s="32">
        <v>4</v>
      </c>
      <c r="B6" s="70" t="s">
        <v>33</v>
      </c>
      <c r="C6" s="71">
        <v>600136</v>
      </c>
      <c r="D6" s="56">
        <v>44930</v>
      </c>
      <c r="E6" s="66">
        <v>44930</v>
      </c>
      <c r="F6" s="54"/>
      <c r="G6" s="54"/>
      <c r="H6" s="54"/>
      <c r="I6" s="54"/>
      <c r="J6" s="144">
        <f>(K6-D6)/30</f>
        <v>5.0999999999999996</v>
      </c>
      <c r="K6" s="36">
        <v>45083</v>
      </c>
      <c r="L6" s="45">
        <v>45094</v>
      </c>
      <c r="M6" s="57" t="s">
        <v>177</v>
      </c>
      <c r="N6" s="54">
        <v>45213</v>
      </c>
      <c r="O6" s="45">
        <v>45217</v>
      </c>
      <c r="P6" s="54">
        <v>45233</v>
      </c>
      <c r="Q6" s="54">
        <v>45241</v>
      </c>
      <c r="R6" s="54">
        <v>45288</v>
      </c>
      <c r="S6" s="52">
        <v>0.98</v>
      </c>
      <c r="T6" s="52">
        <v>0.98</v>
      </c>
      <c r="U6" s="84">
        <v>45213</v>
      </c>
      <c r="V6" s="42">
        <v>45412</v>
      </c>
      <c r="W6" s="10">
        <v>45468</v>
      </c>
      <c r="X6" s="67" t="s">
        <v>179</v>
      </c>
      <c r="Y6" s="38"/>
      <c r="Z6" s="77" t="s">
        <v>182</v>
      </c>
      <c r="AA6" s="60" t="s">
        <v>178</v>
      </c>
      <c r="AB6" s="89" t="s">
        <v>214</v>
      </c>
      <c r="AC6" s="237"/>
      <c r="AE6" s="25"/>
    </row>
    <row r="7" spans="1:32" s="26" customFormat="1" ht="85" customHeight="1">
      <c r="A7" s="32">
        <v>5</v>
      </c>
      <c r="B7" s="1" t="s">
        <v>34</v>
      </c>
      <c r="C7" s="7">
        <v>600759</v>
      </c>
      <c r="D7" s="56">
        <v>45024</v>
      </c>
      <c r="E7" s="65">
        <v>45038</v>
      </c>
      <c r="F7" s="65">
        <v>45087</v>
      </c>
      <c r="G7" s="68" t="s">
        <v>180</v>
      </c>
      <c r="H7" s="54"/>
      <c r="I7" s="54"/>
      <c r="J7" s="143">
        <f t="shared" ref="J7:J14" si="0">(K7-F7)/30</f>
        <v>3.4333333333333331</v>
      </c>
      <c r="K7" s="36">
        <v>45190</v>
      </c>
      <c r="L7" s="55" t="s">
        <v>179</v>
      </c>
      <c r="M7" s="55"/>
      <c r="N7" s="45">
        <v>45218</v>
      </c>
      <c r="O7" s="45">
        <v>45218</v>
      </c>
      <c r="P7" s="54"/>
      <c r="Q7" s="54">
        <v>45252</v>
      </c>
      <c r="R7" s="44">
        <v>45290</v>
      </c>
      <c r="S7" s="52" t="s">
        <v>179</v>
      </c>
      <c r="T7" s="52">
        <v>1.5</v>
      </c>
      <c r="U7" s="84">
        <v>45218</v>
      </c>
      <c r="V7" s="42" t="s">
        <v>183</v>
      </c>
      <c r="W7" s="67">
        <v>45306</v>
      </c>
      <c r="X7" s="41">
        <v>45468</v>
      </c>
      <c r="Y7" s="38">
        <v>45645</v>
      </c>
      <c r="Z7" s="77" t="s">
        <v>184</v>
      </c>
      <c r="AA7" s="60"/>
      <c r="AB7" s="89" t="s">
        <v>212</v>
      </c>
      <c r="AC7" s="25" t="s">
        <v>196</v>
      </c>
      <c r="AE7" s="25"/>
    </row>
    <row r="8" spans="1:32" s="26" customFormat="1" ht="85" customHeight="1">
      <c r="A8" s="76">
        <v>6</v>
      </c>
      <c r="B8" s="70" t="s">
        <v>35</v>
      </c>
      <c r="C8" s="72" t="s">
        <v>44</v>
      </c>
      <c r="D8" s="73">
        <v>45003</v>
      </c>
      <c r="E8" s="56">
        <v>45078</v>
      </c>
      <c r="F8" s="56">
        <v>45079</v>
      </c>
      <c r="G8" s="54"/>
      <c r="H8" s="54"/>
      <c r="I8" s="54"/>
      <c r="J8" s="143">
        <f t="shared" si="0"/>
        <v>0.13333333333333333</v>
      </c>
      <c r="K8" s="78">
        <v>45083</v>
      </c>
      <c r="L8" s="74">
        <v>45220</v>
      </c>
      <c r="M8" s="55"/>
      <c r="N8" s="74">
        <v>45234</v>
      </c>
      <c r="O8" s="54">
        <v>45241</v>
      </c>
      <c r="P8" s="54"/>
      <c r="Q8" s="44">
        <v>45258</v>
      </c>
      <c r="R8" s="44">
        <v>45287</v>
      </c>
      <c r="S8" s="52">
        <v>0.75</v>
      </c>
      <c r="T8" s="52">
        <v>0.8</v>
      </c>
      <c r="U8" s="84">
        <v>45234</v>
      </c>
      <c r="V8" s="69">
        <v>45287</v>
      </c>
      <c r="W8" s="43" t="s">
        <v>49</v>
      </c>
      <c r="X8" s="67" t="s">
        <v>49</v>
      </c>
      <c r="Y8" s="38">
        <v>45652</v>
      </c>
      <c r="Z8" s="77" t="s">
        <v>185</v>
      </c>
      <c r="AA8" s="60"/>
      <c r="AB8" s="89" t="s">
        <v>202</v>
      </c>
      <c r="AC8" s="25"/>
      <c r="AE8" s="25"/>
    </row>
    <row r="9" spans="1:32" s="26" customFormat="1" ht="85" customHeight="1">
      <c r="A9" s="32">
        <v>7</v>
      </c>
      <c r="B9" s="1" t="s">
        <v>36</v>
      </c>
      <c r="C9" s="8" t="s">
        <v>46</v>
      </c>
      <c r="D9" s="53">
        <v>44712</v>
      </c>
      <c r="E9" s="65">
        <v>44933</v>
      </c>
      <c r="F9" s="74">
        <v>45112</v>
      </c>
      <c r="G9" s="54"/>
      <c r="H9" s="54"/>
      <c r="I9" s="54"/>
      <c r="J9" s="143">
        <f t="shared" si="0"/>
        <v>0.66666666666666663</v>
      </c>
      <c r="K9" s="54">
        <v>45132</v>
      </c>
      <c r="L9" s="55" t="s">
        <v>188</v>
      </c>
      <c r="M9" s="54">
        <v>45160</v>
      </c>
      <c r="N9" s="74">
        <v>45241</v>
      </c>
      <c r="O9" s="74">
        <v>45241</v>
      </c>
      <c r="P9" s="54">
        <v>45259</v>
      </c>
      <c r="Q9" s="54">
        <v>45259</v>
      </c>
      <c r="R9" s="44">
        <v>45283</v>
      </c>
      <c r="S9" s="52">
        <v>1</v>
      </c>
      <c r="T9" s="52">
        <v>1.2</v>
      </c>
      <c r="U9" s="84">
        <v>45241</v>
      </c>
      <c r="V9" s="42" t="s">
        <v>189</v>
      </c>
      <c r="W9" s="242">
        <v>45458</v>
      </c>
      <c r="X9" s="242"/>
      <c r="Y9" s="38">
        <v>45645</v>
      </c>
      <c r="Z9" s="41" t="s">
        <v>190</v>
      </c>
      <c r="AA9" s="60"/>
      <c r="AB9" s="88" t="s">
        <v>213</v>
      </c>
      <c r="AE9" s="25"/>
    </row>
    <row r="10" spans="1:32" s="81" customFormat="1" ht="85" customHeight="1">
      <c r="A10" s="76">
        <v>8</v>
      </c>
      <c r="B10" s="70" t="s">
        <v>204</v>
      </c>
      <c r="C10" s="72" t="s">
        <v>45</v>
      </c>
      <c r="D10" s="56">
        <v>45104</v>
      </c>
      <c r="E10" s="65">
        <v>45111</v>
      </c>
      <c r="F10" s="65">
        <v>45111</v>
      </c>
      <c r="G10" s="54" t="s">
        <v>191</v>
      </c>
      <c r="H10" s="54"/>
      <c r="I10" s="54"/>
      <c r="J10" s="143">
        <f t="shared" si="0"/>
        <v>4</v>
      </c>
      <c r="K10" s="54">
        <v>45231</v>
      </c>
      <c r="L10" s="55"/>
      <c r="M10" s="55"/>
      <c r="N10" s="74">
        <v>45268</v>
      </c>
      <c r="O10" s="54">
        <v>45234</v>
      </c>
      <c r="P10" s="54"/>
      <c r="Q10" s="74">
        <v>45269</v>
      </c>
      <c r="R10" s="44">
        <v>45290</v>
      </c>
      <c r="S10" s="52">
        <v>1.32</v>
      </c>
      <c r="T10" s="52">
        <v>2.41</v>
      </c>
      <c r="U10" s="85">
        <v>45231</v>
      </c>
      <c r="V10" s="82" t="s">
        <v>192</v>
      </c>
      <c r="W10" s="61">
        <v>45461</v>
      </c>
      <c r="X10" s="61">
        <v>45591</v>
      </c>
      <c r="Y10" s="79">
        <v>45646</v>
      </c>
      <c r="Z10" s="41" t="s">
        <v>276</v>
      </c>
      <c r="AA10" s="60"/>
      <c r="AB10" s="88" t="s">
        <v>205</v>
      </c>
      <c r="AE10" s="60"/>
    </row>
    <row r="11" spans="1:32" s="81" customFormat="1" ht="85" hidden="1" customHeight="1">
      <c r="A11" s="80">
        <v>9</v>
      </c>
      <c r="B11" s="70" t="s">
        <v>37</v>
      </c>
      <c r="C11" s="71">
        <v>600306</v>
      </c>
      <c r="D11" s="73">
        <v>45030</v>
      </c>
      <c r="E11" s="73">
        <v>45030</v>
      </c>
      <c r="F11" s="74">
        <v>45087</v>
      </c>
      <c r="G11" s="54"/>
      <c r="H11" s="54"/>
      <c r="I11" s="54"/>
      <c r="J11" s="143">
        <f t="shared" si="0"/>
        <v>5.1333333333333337</v>
      </c>
      <c r="K11" s="74">
        <v>45241</v>
      </c>
      <c r="L11" s="55"/>
      <c r="M11" s="55"/>
      <c r="N11" s="74">
        <v>45244</v>
      </c>
      <c r="O11" s="36">
        <v>45255</v>
      </c>
      <c r="P11" s="45"/>
      <c r="Q11" s="44"/>
      <c r="R11" s="44">
        <v>45289</v>
      </c>
      <c r="S11" s="52" t="s">
        <v>193</v>
      </c>
      <c r="T11" s="52">
        <v>5.6</v>
      </c>
      <c r="U11" s="84">
        <v>45244</v>
      </c>
      <c r="V11" s="82">
        <v>45294</v>
      </c>
      <c r="W11" s="83"/>
      <c r="X11" s="83"/>
      <c r="Y11" s="79">
        <v>45646</v>
      </c>
      <c r="Z11" s="79"/>
      <c r="AA11" s="60" t="s">
        <v>194</v>
      </c>
      <c r="AB11" s="88"/>
      <c r="AE11" s="60"/>
    </row>
    <row r="12" spans="1:32" s="26" customFormat="1" ht="42">
      <c r="A12" s="76">
        <v>10</v>
      </c>
      <c r="B12" s="70" t="s">
        <v>38</v>
      </c>
      <c r="C12" s="71">
        <v>603030</v>
      </c>
      <c r="D12" s="22">
        <v>45066</v>
      </c>
      <c r="E12" s="22">
        <v>45066</v>
      </c>
      <c r="F12" s="74">
        <v>45090</v>
      </c>
      <c r="G12" s="74">
        <v>45104</v>
      </c>
      <c r="H12" s="54">
        <v>45119</v>
      </c>
      <c r="I12" s="54"/>
      <c r="J12" s="143">
        <f t="shared" si="0"/>
        <v>5.1333333333333337</v>
      </c>
      <c r="K12" s="54">
        <v>45244</v>
      </c>
      <c r="L12" s="55"/>
      <c r="M12" s="55"/>
      <c r="N12" s="54"/>
      <c r="O12" s="54">
        <v>45259</v>
      </c>
      <c r="P12" s="54">
        <v>45259</v>
      </c>
      <c r="Q12" s="68">
        <v>45276</v>
      </c>
      <c r="R12" s="68">
        <v>45287</v>
      </c>
      <c r="S12" s="55">
        <v>0.65</v>
      </c>
      <c r="T12" s="55">
        <v>1.45</v>
      </c>
      <c r="U12" s="84">
        <v>45259</v>
      </c>
      <c r="V12" s="82" t="s">
        <v>206</v>
      </c>
      <c r="W12" s="93">
        <v>45420</v>
      </c>
      <c r="X12" s="61">
        <v>45482</v>
      </c>
      <c r="Y12" s="38"/>
      <c r="Z12" s="41" t="s">
        <v>207</v>
      </c>
      <c r="AA12" s="60"/>
      <c r="AB12" s="88" t="s">
        <v>205</v>
      </c>
      <c r="AE12" s="25"/>
    </row>
    <row r="13" spans="1:32" s="26" customFormat="1" ht="85" customHeight="1">
      <c r="A13" s="32">
        <v>11</v>
      </c>
      <c r="B13" s="1" t="s">
        <v>39</v>
      </c>
      <c r="C13" s="8" t="s">
        <v>208</v>
      </c>
      <c r="D13" s="56">
        <v>45065</v>
      </c>
      <c r="E13" s="56">
        <v>45065</v>
      </c>
      <c r="F13" s="74">
        <v>45072</v>
      </c>
      <c r="G13" s="94"/>
      <c r="H13" s="74">
        <v>45145</v>
      </c>
      <c r="I13" s="54"/>
      <c r="J13" s="143">
        <f t="shared" si="0"/>
        <v>5.7666666666666666</v>
      </c>
      <c r="K13" s="54">
        <v>45245</v>
      </c>
      <c r="L13" s="55"/>
      <c r="M13" s="55"/>
      <c r="N13" s="54"/>
      <c r="O13" s="54">
        <v>45260</v>
      </c>
      <c r="P13" s="54"/>
      <c r="Q13" s="44">
        <v>45276</v>
      </c>
      <c r="R13" s="44">
        <v>45290</v>
      </c>
      <c r="S13" s="52">
        <v>1.08</v>
      </c>
      <c r="T13" s="52">
        <v>1.2</v>
      </c>
      <c r="U13" s="84">
        <v>45146</v>
      </c>
      <c r="V13" s="42" t="s">
        <v>215</v>
      </c>
      <c r="W13" s="222">
        <v>45432</v>
      </c>
      <c r="X13" s="223"/>
      <c r="Y13" s="38">
        <v>45646</v>
      </c>
      <c r="Z13" s="41" t="s">
        <v>216</v>
      </c>
      <c r="AA13" s="60"/>
      <c r="AB13" s="60" t="s">
        <v>217</v>
      </c>
      <c r="AE13" s="25"/>
    </row>
    <row r="14" spans="1:32" s="26" customFormat="1" ht="42">
      <c r="A14" s="108">
        <v>12</v>
      </c>
      <c r="B14" s="12" t="s">
        <v>74</v>
      </c>
      <c r="C14" s="11">
        <v>300010</v>
      </c>
      <c r="D14" s="65">
        <v>45016</v>
      </c>
      <c r="E14" s="53"/>
      <c r="F14" s="54">
        <v>45117</v>
      </c>
      <c r="G14" s="54"/>
      <c r="H14" s="54"/>
      <c r="I14" s="54"/>
      <c r="J14" s="143">
        <f t="shared" si="0"/>
        <v>4.3</v>
      </c>
      <c r="K14" s="54">
        <v>45246</v>
      </c>
      <c r="L14" s="55"/>
      <c r="M14" s="55"/>
      <c r="N14" s="54"/>
      <c r="O14" s="74">
        <v>45260</v>
      </c>
      <c r="P14" s="54"/>
      <c r="Q14" s="44">
        <v>45279</v>
      </c>
      <c r="R14" s="44">
        <v>45289</v>
      </c>
      <c r="S14" s="52">
        <v>0.8</v>
      </c>
      <c r="T14" s="52">
        <v>1.5</v>
      </c>
      <c r="U14" s="84">
        <v>45117</v>
      </c>
      <c r="V14" s="42" t="s">
        <v>219</v>
      </c>
      <c r="W14" s="238">
        <v>45455</v>
      </c>
      <c r="X14" s="239"/>
      <c r="Y14" s="38">
        <v>45646</v>
      </c>
      <c r="Z14" s="41" t="s">
        <v>218</v>
      </c>
      <c r="AA14" s="60"/>
      <c r="AB14" s="60" t="s">
        <v>220</v>
      </c>
      <c r="AE14" s="25"/>
    </row>
    <row r="15" spans="1:32" s="26" customFormat="1" ht="85" customHeight="1">
      <c r="A15" s="32">
        <v>13</v>
      </c>
      <c r="B15" s="1" t="s">
        <v>40</v>
      </c>
      <c r="C15" s="8" t="s">
        <v>221</v>
      </c>
      <c r="D15" s="96" t="s">
        <v>222</v>
      </c>
      <c r="E15" s="53">
        <v>44810</v>
      </c>
      <c r="F15" s="54"/>
      <c r="G15" s="54"/>
      <c r="H15" s="74" t="s">
        <v>223</v>
      </c>
      <c r="I15" s="54">
        <v>45083</v>
      </c>
      <c r="J15" s="143">
        <f>(K15-I15)/30</f>
        <v>5.7333333333333334</v>
      </c>
      <c r="K15" s="54">
        <v>45255</v>
      </c>
      <c r="L15" s="55"/>
      <c r="M15" s="55"/>
      <c r="N15" s="54"/>
      <c r="O15" s="54">
        <v>45275</v>
      </c>
      <c r="P15" s="54"/>
      <c r="Q15" s="44">
        <v>45279</v>
      </c>
      <c r="R15" s="44">
        <v>45290</v>
      </c>
      <c r="S15" s="52"/>
      <c r="T15" s="52">
        <v>1.46</v>
      </c>
      <c r="U15" s="84">
        <v>45001</v>
      </c>
      <c r="V15" s="42" t="s">
        <v>224</v>
      </c>
      <c r="W15" s="238">
        <v>45451</v>
      </c>
      <c r="X15" s="239"/>
      <c r="Y15" s="38">
        <v>45649</v>
      </c>
      <c r="Z15" s="41" t="s">
        <v>225</v>
      </c>
      <c r="AA15" s="60"/>
      <c r="AB15" s="60" t="s">
        <v>226</v>
      </c>
      <c r="AE15" s="25"/>
    </row>
    <row r="16" spans="1:32" s="26" customFormat="1" ht="85" customHeight="1">
      <c r="A16" s="32">
        <v>14</v>
      </c>
      <c r="B16" s="8" t="s">
        <v>41</v>
      </c>
      <c r="C16" s="8" t="s">
        <v>175</v>
      </c>
      <c r="D16" s="96" t="s">
        <v>227</v>
      </c>
      <c r="E16" s="53">
        <v>45132</v>
      </c>
      <c r="F16" s="74">
        <v>45185</v>
      </c>
      <c r="G16" s="54" t="s">
        <v>228</v>
      </c>
      <c r="H16" s="54"/>
      <c r="I16" s="54"/>
      <c r="J16" s="143">
        <f>(K16-F16)/30</f>
        <v>2.3333333333333335</v>
      </c>
      <c r="K16" s="74">
        <v>45255</v>
      </c>
      <c r="L16" s="55"/>
      <c r="M16" s="55"/>
      <c r="N16" s="54"/>
      <c r="O16" s="54">
        <v>45282</v>
      </c>
      <c r="P16" s="54"/>
      <c r="Q16" s="44">
        <v>45285</v>
      </c>
      <c r="R16" s="44">
        <v>45290</v>
      </c>
      <c r="S16" s="52" t="s">
        <v>229</v>
      </c>
      <c r="T16" s="52" t="s">
        <v>230</v>
      </c>
      <c r="U16" s="84">
        <v>45267</v>
      </c>
      <c r="V16" s="69" t="s">
        <v>231</v>
      </c>
      <c r="W16" s="238">
        <v>45446</v>
      </c>
      <c r="X16" s="239"/>
      <c r="Y16" s="38"/>
      <c r="Z16" s="79" t="s">
        <v>230</v>
      </c>
      <c r="AA16" s="60"/>
      <c r="AB16" s="60" t="s">
        <v>232</v>
      </c>
      <c r="AE16" s="25"/>
    </row>
    <row r="17" spans="1:31" s="26" customFormat="1" ht="85" customHeight="1">
      <c r="A17" s="32">
        <v>15</v>
      </c>
      <c r="B17" s="1" t="s">
        <v>42</v>
      </c>
      <c r="C17" s="7">
        <v>600589</v>
      </c>
      <c r="D17" s="96" t="s">
        <v>233</v>
      </c>
      <c r="E17" s="65">
        <v>45176</v>
      </c>
      <c r="F17" s="54">
        <v>45213</v>
      </c>
      <c r="G17" s="54"/>
      <c r="H17" s="54"/>
      <c r="I17" s="54"/>
      <c r="J17" s="143">
        <f>(K17-F17)/30</f>
        <v>1.4</v>
      </c>
      <c r="K17" s="74">
        <v>45255</v>
      </c>
      <c r="L17" s="55"/>
      <c r="M17" s="55"/>
      <c r="N17" s="54"/>
      <c r="O17" s="74">
        <v>45279</v>
      </c>
      <c r="P17" s="54"/>
      <c r="Q17" s="58">
        <v>45286</v>
      </c>
      <c r="R17" s="44">
        <v>45290</v>
      </c>
      <c r="S17" s="52">
        <v>1.3</v>
      </c>
      <c r="T17" s="52">
        <v>1.65</v>
      </c>
      <c r="U17" s="84">
        <v>45279</v>
      </c>
      <c r="V17" s="42" t="s">
        <v>234</v>
      </c>
      <c r="W17" s="240">
        <v>45457</v>
      </c>
      <c r="X17" s="241"/>
      <c r="Y17" s="38"/>
      <c r="Z17" s="41" t="s">
        <v>235</v>
      </c>
      <c r="AA17" s="60"/>
      <c r="AB17" s="60" t="s">
        <v>232</v>
      </c>
      <c r="AE17" s="25"/>
    </row>
    <row r="18" spans="1:31">
      <c r="AE18" t="s">
        <v>342</v>
      </c>
    </row>
  </sheetData>
  <mergeCells count="26">
    <mergeCell ref="A1:A2"/>
    <mergeCell ref="T1:U2"/>
    <mergeCell ref="X1:X2"/>
    <mergeCell ref="S1:S2"/>
    <mergeCell ref="V1:V2"/>
    <mergeCell ref="W1:W2"/>
    <mergeCell ref="B1:B2"/>
    <mergeCell ref="C1:C2"/>
    <mergeCell ref="D1:J1"/>
    <mergeCell ref="K1:Q1"/>
    <mergeCell ref="R1:R2"/>
    <mergeCell ref="AE1:AE2"/>
    <mergeCell ref="W15:X15"/>
    <mergeCell ref="W16:X16"/>
    <mergeCell ref="W17:X17"/>
    <mergeCell ref="AC1:AC2"/>
    <mergeCell ref="W9:X9"/>
    <mergeCell ref="AC5:AC6"/>
    <mergeCell ref="AB1:AB2"/>
    <mergeCell ref="W13:X13"/>
    <mergeCell ref="W14:X14"/>
    <mergeCell ref="AD1:AD2"/>
    <mergeCell ref="W4:X4"/>
    <mergeCell ref="Z1:Z2"/>
    <mergeCell ref="AA1:AA2"/>
    <mergeCell ref="Y1:Y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H28" sqref="H28"/>
    </sheetView>
  </sheetViews>
  <sheetFormatPr defaultRowHeight="14"/>
  <cols>
    <col min="2" max="2" width="13.33203125" style="20" bestFit="1" customWidth="1"/>
    <col min="7" max="7" width="11.58203125" bestFit="1" customWidth="1"/>
    <col min="8" max="9" width="10.5" customWidth="1"/>
    <col min="10" max="10" width="9.08203125" bestFit="1" customWidth="1"/>
    <col min="11" max="11" width="12.33203125" style="5" bestFit="1" customWidth="1"/>
  </cols>
  <sheetData>
    <row r="1" spans="1:11" ht="90">
      <c r="A1" s="2" t="s">
        <v>0</v>
      </c>
      <c r="B1" s="17" t="s">
        <v>15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51</v>
      </c>
      <c r="H1" s="1" t="s">
        <v>53</v>
      </c>
      <c r="I1" s="1"/>
      <c r="J1" s="1" t="s">
        <v>23</v>
      </c>
      <c r="K1" s="4" t="s">
        <v>50</v>
      </c>
    </row>
    <row r="2" spans="1:11" ht="15">
      <c r="A2" s="2" t="s">
        <v>52</v>
      </c>
      <c r="B2" s="18" t="s">
        <v>14</v>
      </c>
      <c r="C2" s="19">
        <v>1.3</v>
      </c>
      <c r="D2" s="13">
        <v>3.46</v>
      </c>
      <c r="E2" s="13">
        <v>37.57</v>
      </c>
      <c r="F2" s="13">
        <v>4.13</v>
      </c>
      <c r="G2" s="22">
        <v>44735</v>
      </c>
      <c r="H2" s="13">
        <v>4.55</v>
      </c>
      <c r="I2" s="16">
        <f>(H2-C2)/C2</f>
        <v>2.5</v>
      </c>
      <c r="J2" s="13">
        <v>2.4900000000000002</v>
      </c>
      <c r="K2" s="16">
        <f t="shared" ref="K2:K12" si="0">(J2-C2)/C2</f>
        <v>0.91538461538461546</v>
      </c>
    </row>
    <row r="3" spans="1:11" ht="15">
      <c r="A3" s="21" t="s">
        <v>5</v>
      </c>
      <c r="B3" s="18">
        <v>300256</v>
      </c>
      <c r="C3" s="19">
        <v>1.5</v>
      </c>
      <c r="D3" s="13">
        <v>3.04</v>
      </c>
      <c r="E3" s="13">
        <v>49.34</v>
      </c>
      <c r="F3" s="13">
        <v>3.02</v>
      </c>
      <c r="G3" s="22">
        <v>44820</v>
      </c>
      <c r="H3" s="14" t="s">
        <v>54</v>
      </c>
      <c r="I3" s="16">
        <f>3.1/C3-(2.8-C3)/C3</f>
        <v>1.2000000000000002</v>
      </c>
      <c r="J3" s="13">
        <v>2.36</v>
      </c>
      <c r="K3" s="16">
        <f t="shared" si="0"/>
        <v>0.57333333333333325</v>
      </c>
    </row>
    <row r="4" spans="1:11" ht="15">
      <c r="A4" s="2" t="s">
        <v>6</v>
      </c>
      <c r="B4" s="18" t="s">
        <v>19</v>
      </c>
      <c r="C4" s="19">
        <v>1.76</v>
      </c>
      <c r="D4" s="13">
        <v>2.73</v>
      </c>
      <c r="E4" s="13">
        <v>64.5</v>
      </c>
      <c r="F4" s="13">
        <v>2.5299999999999998</v>
      </c>
      <c r="G4" s="22">
        <v>44916</v>
      </c>
      <c r="H4" s="13">
        <v>2.4</v>
      </c>
      <c r="I4" s="16">
        <f t="shared" ref="I4:I9" si="1">(H4-C4)/C4</f>
        <v>0.36363636363636359</v>
      </c>
      <c r="J4" s="13">
        <v>2.2200000000000002</v>
      </c>
      <c r="K4" s="16">
        <f t="shared" si="0"/>
        <v>0.26136363636363646</v>
      </c>
    </row>
    <row r="5" spans="1:11" ht="15">
      <c r="A5" s="2" t="s">
        <v>7</v>
      </c>
      <c r="B5" s="18" t="s">
        <v>20</v>
      </c>
      <c r="C5" s="19">
        <v>1.54</v>
      </c>
      <c r="D5" s="13">
        <v>2.39</v>
      </c>
      <c r="E5" s="13">
        <v>64.44</v>
      </c>
      <c r="F5" s="13">
        <v>2.62</v>
      </c>
      <c r="G5" s="22">
        <v>44922</v>
      </c>
      <c r="H5" s="13">
        <v>2.78</v>
      </c>
      <c r="I5" s="16">
        <f t="shared" si="1"/>
        <v>0.80519480519480502</v>
      </c>
      <c r="J5" s="13">
        <v>2.5499999999999998</v>
      </c>
      <c r="K5" s="16">
        <f t="shared" si="0"/>
        <v>0.65584415584415567</v>
      </c>
    </row>
    <row r="6" spans="1:11" ht="15">
      <c r="A6" s="21" t="s">
        <v>55</v>
      </c>
      <c r="B6" s="18" t="s">
        <v>21</v>
      </c>
      <c r="C6" s="19">
        <v>2.8</v>
      </c>
      <c r="D6" s="13">
        <v>6.97</v>
      </c>
      <c r="E6" s="13">
        <v>40.17</v>
      </c>
      <c r="F6" s="13">
        <v>6.44</v>
      </c>
      <c r="G6" s="22">
        <v>44923</v>
      </c>
      <c r="H6" s="13">
        <v>4.95</v>
      </c>
      <c r="I6" s="16">
        <f t="shared" si="1"/>
        <v>0.76785714285714302</v>
      </c>
      <c r="J6" s="13">
        <v>3.96</v>
      </c>
      <c r="K6" s="16">
        <f t="shared" si="0"/>
        <v>0.41428571428571437</v>
      </c>
    </row>
    <row r="7" spans="1:11" ht="15">
      <c r="A7" s="2" t="s">
        <v>8</v>
      </c>
      <c r="B7" s="18" t="s">
        <v>18</v>
      </c>
      <c r="C7" s="19">
        <v>3.3</v>
      </c>
      <c r="D7" s="13">
        <v>6.08</v>
      </c>
      <c r="E7" s="13">
        <v>54.28</v>
      </c>
      <c r="F7" s="13">
        <v>5.0199999999999996</v>
      </c>
      <c r="G7" s="22">
        <v>44922</v>
      </c>
      <c r="H7" s="13">
        <v>5.38</v>
      </c>
      <c r="I7" s="16">
        <f t="shared" si="1"/>
        <v>0.63030303030303036</v>
      </c>
      <c r="J7" s="13">
        <v>4.59</v>
      </c>
      <c r="K7" s="16">
        <f t="shared" si="0"/>
        <v>0.39090909090909093</v>
      </c>
    </row>
    <row r="8" spans="1:11" ht="15">
      <c r="A8" s="2" t="s">
        <v>9</v>
      </c>
      <c r="B8" s="18" t="s">
        <v>22</v>
      </c>
      <c r="C8" s="19">
        <v>1.2</v>
      </c>
      <c r="D8" s="13">
        <v>1.87</v>
      </c>
      <c r="E8" s="13">
        <v>64.17</v>
      </c>
      <c r="F8" s="13">
        <v>2.5499999999999998</v>
      </c>
      <c r="G8" s="22">
        <v>44917</v>
      </c>
      <c r="H8" s="13">
        <v>2.21</v>
      </c>
      <c r="I8" s="16">
        <f t="shared" si="1"/>
        <v>0.84166666666666667</v>
      </c>
      <c r="J8" s="13">
        <v>2.2000000000000002</v>
      </c>
      <c r="K8" s="16">
        <f t="shared" si="0"/>
        <v>0.83333333333333359</v>
      </c>
    </row>
    <row r="9" spans="1:11" ht="15">
      <c r="A9" s="2" t="s">
        <v>10</v>
      </c>
      <c r="B9" s="18" t="s">
        <v>16</v>
      </c>
      <c r="C9" s="19">
        <v>1</v>
      </c>
      <c r="D9" s="13">
        <v>2.61</v>
      </c>
      <c r="E9" s="13">
        <v>38.31</v>
      </c>
      <c r="F9" s="13">
        <v>3.1</v>
      </c>
      <c r="G9" s="22">
        <v>44932</v>
      </c>
      <c r="H9" s="13">
        <v>3.87</v>
      </c>
      <c r="I9" s="16">
        <f t="shared" si="1"/>
        <v>2.87</v>
      </c>
      <c r="J9" s="13">
        <v>3.7</v>
      </c>
      <c r="K9" s="16">
        <f t="shared" si="0"/>
        <v>2.7</v>
      </c>
    </row>
    <row r="10" spans="1:11" ht="15">
      <c r="A10" s="2" t="s">
        <v>11</v>
      </c>
      <c r="B10" s="18" t="s">
        <v>17</v>
      </c>
      <c r="C10" s="19">
        <v>1.5</v>
      </c>
      <c r="D10" s="13">
        <v>2.64</v>
      </c>
      <c r="E10" s="13">
        <v>56.82</v>
      </c>
      <c r="F10" s="13">
        <v>2.62</v>
      </c>
      <c r="G10" s="22">
        <v>44919</v>
      </c>
      <c r="H10" s="13">
        <v>2.4300000000000002</v>
      </c>
      <c r="I10" s="16">
        <f>(H10-C10)/C10</f>
        <v>0.62000000000000011</v>
      </c>
      <c r="J10" s="13">
        <v>2.83</v>
      </c>
      <c r="K10" s="16">
        <f t="shared" si="0"/>
        <v>0.88666666666666671</v>
      </c>
    </row>
    <row r="11" spans="1:11" ht="15">
      <c r="A11" s="2" t="s">
        <v>13</v>
      </c>
      <c r="B11" s="18">
        <v>603603</v>
      </c>
      <c r="C11" s="19">
        <v>3.02</v>
      </c>
      <c r="D11" s="13">
        <v>5.17</v>
      </c>
      <c r="E11" s="13">
        <v>58.41</v>
      </c>
      <c r="F11" s="13">
        <v>5.47</v>
      </c>
      <c r="G11" s="22"/>
      <c r="H11" s="13"/>
      <c r="I11" s="16">
        <f>(H11-C11)/C11</f>
        <v>-1</v>
      </c>
      <c r="J11" s="13">
        <v>0.47</v>
      </c>
      <c r="K11" s="16">
        <f t="shared" si="0"/>
        <v>-0.8443708609271523</v>
      </c>
    </row>
    <row r="12" spans="1:11" ht="15">
      <c r="A12" s="21" t="s">
        <v>12</v>
      </c>
      <c r="B12" s="18">
        <v>600666</v>
      </c>
      <c r="C12" s="19">
        <v>0.8</v>
      </c>
      <c r="D12" s="13">
        <v>2.44</v>
      </c>
      <c r="E12" s="13">
        <v>32.79</v>
      </c>
      <c r="F12" s="13">
        <v>2.36</v>
      </c>
      <c r="G12" s="22">
        <v>44929</v>
      </c>
      <c r="H12" s="13">
        <v>1.5</v>
      </c>
      <c r="I12" s="16">
        <f>(H12-C12)/C12</f>
        <v>0.87499999999999989</v>
      </c>
      <c r="J12" s="13">
        <v>1.59</v>
      </c>
      <c r="K12" s="16">
        <f t="shared" si="0"/>
        <v>0.98750000000000004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策略总结</vt:lpstr>
      <vt:lpstr>2025年度更新</vt:lpstr>
      <vt:lpstr>Sheet1</vt:lpstr>
      <vt:lpstr>2025年度</vt:lpstr>
      <vt:lpstr>2024年度更新</vt:lpstr>
      <vt:lpstr>2023年度 (4)</vt:lpstr>
      <vt:lpstr>2022年度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GZZC</dc:creator>
  <cp:lastModifiedBy>GZZC</cp:lastModifiedBy>
  <dcterms:created xsi:type="dcterms:W3CDTF">2024-03-28T02:43:32Z</dcterms:created>
  <dcterms:modified xsi:type="dcterms:W3CDTF">2025-07-26T13:20:02Z</dcterms:modified>
</cp:coreProperties>
</file>